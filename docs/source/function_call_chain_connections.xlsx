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reiskind\nolcat\docs\source\"/>
    </mc:Choice>
  </mc:AlternateContent>
  <xr:revisionPtr revIDLastSave="0" documentId="13_ncr:1_{CEC24833-DDF7-4EB1-9AF7-F8B1C9C583AB}" xr6:coauthVersionLast="47" xr6:coauthVersionMax="47" xr10:uidLastSave="{00000000-0000-0000-0000-000000000000}"/>
  <bookViews>
    <workbookView xWindow="11424" yWindow="0" windowWidth="11712" windowHeight="13776" xr2:uid="{44512B9D-2A90-4646-8933-428A99F14C9B}"/>
  </bookViews>
  <sheets>
    <sheet name="Edges" sheetId="4" r:id="rId1"/>
    <sheet name="Nodes" sheetId="2" r:id="rId2"/>
  </sheets>
  <definedNames>
    <definedName name="_xlnm._FilterDatabase" localSheetId="1">Nodes!$A$1:$C$386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9" i="4" l="1"/>
  <c r="E849" i="4"/>
  <c r="E865" i="4"/>
  <c r="E154" i="4"/>
  <c r="E186" i="4"/>
  <c r="E607" i="4"/>
  <c r="E623" i="4"/>
  <c r="E344" i="4"/>
  <c r="E809" i="4"/>
  <c r="E812" i="4"/>
  <c r="E815" i="4"/>
  <c r="E818" i="4"/>
  <c r="E821" i="4"/>
  <c r="E824" i="4"/>
  <c r="E827" i="4"/>
  <c r="E835" i="4"/>
  <c r="E850" i="4"/>
  <c r="E187" i="4"/>
  <c r="E624" i="4"/>
  <c r="E345" i="4"/>
  <c r="E441" i="4"/>
  <c r="E188" i="4"/>
  <c r="E494" i="4"/>
  <c r="E498" i="4"/>
  <c r="E520" i="4"/>
  <c r="E521" i="4"/>
  <c r="E528" i="4"/>
  <c r="E529" i="4"/>
  <c r="E625" i="4"/>
  <c r="E346" i="4"/>
  <c r="E1019" i="4"/>
  <c r="E1020" i="4"/>
  <c r="E189" i="4"/>
  <c r="E626" i="4"/>
  <c r="E347" i="4"/>
  <c r="E195" i="4"/>
  <c r="E499" i="4"/>
  <c r="E608" i="4"/>
  <c r="E638" i="4"/>
  <c r="E348" i="4"/>
  <c r="E50" i="4"/>
  <c r="E872" i="4"/>
  <c r="E874" i="4"/>
  <c r="E37" i="4"/>
  <c r="E74" i="4"/>
  <c r="E92" i="4"/>
  <c r="E446" i="4"/>
  <c r="E909" i="4"/>
  <c r="E913" i="4"/>
  <c r="E918" i="4"/>
  <c r="E926" i="4"/>
  <c r="E929" i="4"/>
  <c r="E51" i="4"/>
  <c r="E891" i="4"/>
  <c r="E901" i="4"/>
  <c r="E57" i="4"/>
  <c r="E880" i="4"/>
  <c r="E886" i="4"/>
  <c r="E173" i="4"/>
  <c r="E930" i="4"/>
  <c r="E134" i="4"/>
  <c r="E196" i="4"/>
  <c r="E639" i="4"/>
  <c r="E349" i="4"/>
  <c r="E197" i="4"/>
  <c r="E640" i="4"/>
  <c r="E350" i="4"/>
  <c r="E198" i="4"/>
  <c r="E641" i="4"/>
  <c r="E351" i="4"/>
  <c r="E85" i="4"/>
  <c r="E642" i="4"/>
  <c r="E352" i="4"/>
  <c r="E31" i="4"/>
  <c r="E155" i="4"/>
  <c r="E204" i="4"/>
  <c r="E303" i="4"/>
  <c r="E609" i="4"/>
  <c r="E658" i="4"/>
  <c r="E836" i="4"/>
  <c r="E353" i="4"/>
  <c r="E455" i="4"/>
  <c r="E179" i="4"/>
  <c r="E221" i="4"/>
  <c r="E467" i="4"/>
  <c r="E304" i="4"/>
  <c r="E479" i="4"/>
  <c r="E58" i="4"/>
  <c r="E137" i="4"/>
  <c r="E435" i="4"/>
  <c r="E556" i="4"/>
  <c r="E568" i="4"/>
  <c r="E576" i="4"/>
  <c r="E659" i="4"/>
  <c r="E698" i="4"/>
  <c r="E717" i="4"/>
  <c r="E728" i="4"/>
  <c r="E739" i="4"/>
  <c r="E750" i="4"/>
  <c r="E773" i="4"/>
  <c r="E774" i="4"/>
  <c r="E775" i="4"/>
  <c r="E776" i="4"/>
  <c r="E777" i="4"/>
  <c r="E778" i="4"/>
  <c r="E779" i="4"/>
  <c r="E780" i="4"/>
  <c r="E937" i="4"/>
  <c r="E938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52" i="4"/>
  <c r="E59" i="4"/>
  <c r="E439" i="4"/>
  <c r="E447" i="4"/>
  <c r="E951" i="4"/>
  <c r="E958" i="4"/>
  <c r="E962" i="4"/>
  <c r="E969" i="4"/>
  <c r="E975" i="4"/>
  <c r="E983" i="4"/>
  <c r="E991" i="4"/>
  <c r="E999" i="4"/>
  <c r="E1007" i="4"/>
  <c r="E114" i="4"/>
  <c r="E115" i="4"/>
  <c r="E116" i="4"/>
  <c r="E117" i="4"/>
  <c r="E132" i="4"/>
  <c r="E118" i="4"/>
  <c r="E123" i="4"/>
  <c r="E160" i="4"/>
  <c r="E205" i="4"/>
  <c r="E1012" i="4"/>
  <c r="E1016" i="4"/>
  <c r="E60" i="4"/>
  <c r="E781" i="4"/>
  <c r="E784" i="4"/>
  <c r="E787" i="4"/>
  <c r="E790" i="4"/>
  <c r="E793" i="4"/>
  <c r="E796" i="4"/>
  <c r="E799" i="4"/>
  <c r="E802" i="4"/>
  <c r="E140" i="4"/>
  <c r="E141" i="4"/>
  <c r="E142" i="4"/>
  <c r="E146" i="4"/>
  <c r="E156" i="4"/>
  <c r="E549" i="4"/>
  <c r="E150" i="4"/>
  <c r="E161" i="4"/>
  <c r="E174" i="4"/>
  <c r="E180" i="4"/>
  <c r="E554" i="4"/>
  <c r="E557" i="4"/>
  <c r="E569" i="4"/>
  <c r="E579" i="4"/>
  <c r="E584" i="4"/>
  <c r="E592" i="4"/>
  <c r="E598" i="4"/>
  <c r="E206" i="4"/>
  <c r="E621" i="4"/>
  <c r="E627" i="4"/>
  <c r="E190" i="4"/>
  <c r="E643" i="4"/>
  <c r="E199" i="4"/>
  <c r="E655" i="4"/>
  <c r="E660" i="4"/>
  <c r="E207" i="4"/>
  <c r="E669" i="4"/>
  <c r="E673" i="4"/>
  <c r="E676" i="4"/>
  <c r="E222" i="4"/>
  <c r="E685" i="4"/>
  <c r="E687" i="4"/>
  <c r="E259" i="4"/>
  <c r="E270" i="4"/>
  <c r="E281" i="4"/>
  <c r="E292" i="4"/>
  <c r="E690" i="4"/>
  <c r="E230" i="4"/>
  <c r="E239" i="4"/>
  <c r="E260" i="4"/>
  <c r="E271" i="4"/>
  <c r="E282" i="4"/>
  <c r="E293" i="4"/>
  <c r="E691" i="4"/>
  <c r="E231" i="4"/>
  <c r="E240" i="4"/>
  <c r="E261" i="4"/>
  <c r="E272" i="4"/>
  <c r="E283" i="4"/>
  <c r="E294" i="4"/>
  <c r="E305" i="4"/>
  <c r="E688" i="4"/>
  <c r="E767" i="4"/>
  <c r="E232" i="4"/>
  <c r="E241" i="4"/>
  <c r="E250" i="4"/>
  <c r="E262" i="4"/>
  <c r="E273" i="4"/>
  <c r="E284" i="4"/>
  <c r="E295" i="4"/>
  <c r="E306" i="4"/>
  <c r="E692" i="4"/>
  <c r="E694" i="4"/>
  <c r="E699" i="4"/>
  <c r="E256" i="4"/>
  <c r="E709" i="4"/>
  <c r="E713" i="4"/>
  <c r="E251" i="4"/>
  <c r="E718" i="4"/>
  <c r="E729" i="4"/>
  <c r="E740" i="4"/>
  <c r="E751" i="4"/>
  <c r="E761" i="4"/>
  <c r="E768" i="4"/>
  <c r="E317" i="4"/>
  <c r="E318" i="4"/>
  <c r="E368" i="4"/>
  <c r="E319" i="4"/>
  <c r="E320" i="4"/>
  <c r="E321" i="4"/>
  <c r="E369" i="4"/>
  <c r="E487" i="4"/>
  <c r="E506" i="4"/>
  <c r="E61" i="4"/>
  <c r="E242" i="4"/>
  <c r="E252" i="4"/>
  <c r="E434" i="4"/>
  <c r="E544" i="4"/>
  <c r="E706" i="4"/>
  <c r="E864" i="4"/>
  <c r="E892" i="4"/>
  <c r="E914" i="4"/>
  <c r="E919" i="4"/>
  <c r="E924" i="4"/>
  <c r="E946" i="4"/>
  <c r="E38" i="4"/>
  <c r="E75" i="4"/>
  <c r="E93" i="4"/>
  <c r="E162" i="4"/>
  <c r="E191" i="4"/>
  <c r="E200" i="4"/>
  <c r="E208" i="4"/>
  <c r="E510" i="4"/>
  <c r="E143" i="4"/>
  <c r="E147" i="4"/>
  <c r="E32" i="4"/>
  <c r="E62" i="4"/>
  <c r="E138" i="4"/>
  <c r="E263" i="4"/>
  <c r="E274" i="4"/>
  <c r="E285" i="4"/>
  <c r="E296" i="4"/>
  <c r="E719" i="4"/>
  <c r="E730" i="4"/>
  <c r="E741" i="4"/>
  <c r="E752" i="4"/>
  <c r="E327" i="4"/>
  <c r="E511" i="4"/>
  <c r="E585" i="4"/>
  <c r="E628" i="4"/>
  <c r="E644" i="4"/>
  <c r="E307" i="4"/>
  <c r="E512" i="4"/>
  <c r="E837" i="4"/>
  <c r="E339" i="4"/>
  <c r="E105" i="4"/>
  <c r="E425" i="4"/>
  <c r="E513" i="4"/>
  <c r="E181" i="4"/>
  <c r="E223" i="4"/>
  <c r="E308" i="4"/>
  <c r="E518" i="4"/>
  <c r="E593" i="4"/>
  <c r="E677" i="4"/>
  <c r="E762" i="4"/>
  <c r="E33" i="4"/>
  <c r="E39" i="4"/>
  <c r="E76" i="4"/>
  <c r="E86" i="4"/>
  <c r="E94" i="4"/>
  <c r="E163" i="4"/>
  <c r="E192" i="4"/>
  <c r="E201" i="4"/>
  <c r="E209" i="4"/>
  <c r="E490" i="4"/>
  <c r="E500" i="4"/>
  <c r="E830" i="4"/>
  <c r="E323" i="4"/>
  <c r="E329" i="4"/>
  <c r="E334" i="4"/>
  <c r="E3" i="4"/>
  <c r="E7" i="4"/>
  <c r="E11" i="4"/>
  <c r="E15" i="4"/>
  <c r="E19" i="4"/>
  <c r="E23" i="4"/>
  <c r="E27" i="4"/>
  <c r="E34" i="4"/>
  <c r="E40" i="4"/>
  <c r="E70" i="4"/>
  <c r="E87" i="4"/>
  <c r="E95" i="4"/>
  <c r="E125" i="4"/>
  <c r="E135" i="4"/>
  <c r="E151" i="4"/>
  <c r="E157" i="4"/>
  <c r="E175" i="4"/>
  <c r="E182" i="4"/>
  <c r="E210" i="4"/>
  <c r="E224" i="4"/>
  <c r="E233" i="4"/>
  <c r="E243" i="4"/>
  <c r="E253" i="4"/>
  <c r="E264" i="4"/>
  <c r="E275" i="4"/>
  <c r="E286" i="4"/>
  <c r="E297" i="4"/>
  <c r="E309" i="4"/>
  <c r="E415" i="4"/>
  <c r="E421" i="4"/>
  <c r="E436" i="4"/>
  <c r="E442" i="4"/>
  <c r="E448" i="4"/>
  <c r="E456" i="4"/>
  <c r="E468" i="4"/>
  <c r="E495" i="4"/>
  <c r="E501" i="4"/>
  <c r="E522" i="4"/>
  <c r="E530" i="4"/>
  <c r="E550" i="4"/>
  <c r="E558" i="4"/>
  <c r="E570" i="4"/>
  <c r="E580" i="4"/>
  <c r="E586" i="4"/>
  <c r="E594" i="4"/>
  <c r="E599" i="4"/>
  <c r="E629" i="4"/>
  <c r="E645" i="4"/>
  <c r="E661" i="4"/>
  <c r="E670" i="4"/>
  <c r="E678" i="4"/>
  <c r="E700" i="4"/>
  <c r="E720" i="4"/>
  <c r="E731" i="4"/>
  <c r="E742" i="4"/>
  <c r="E753" i="4"/>
  <c r="E763" i="4"/>
  <c r="E805" i="4"/>
  <c r="E838" i="4"/>
  <c r="E845" i="4"/>
  <c r="E851" i="4"/>
  <c r="E866" i="4"/>
  <c r="E939" i="4"/>
  <c r="E947" i="4"/>
  <c r="E164" i="4"/>
  <c r="E211" i="4"/>
  <c r="E940" i="4"/>
  <c r="E335" i="4"/>
  <c r="E165" i="4"/>
  <c r="E519" i="4"/>
  <c r="E41" i="4"/>
  <c r="E79" i="4"/>
  <c r="E82" i="4"/>
  <c r="E88" i="4"/>
  <c r="E96" i="4"/>
  <c r="E106" i="4"/>
  <c r="E166" i="4"/>
  <c r="E212" i="4"/>
  <c r="E523" i="4"/>
  <c r="E531" i="4"/>
  <c r="E852" i="4"/>
  <c r="E63" i="4"/>
  <c r="E126" i="4"/>
  <c r="E539" i="4"/>
  <c r="E144" i="4"/>
  <c r="E148" i="4"/>
  <c r="E139" i="4"/>
  <c r="E542" i="4"/>
  <c r="E543" i="4"/>
  <c r="E324" i="4"/>
  <c r="E330" i="4"/>
  <c r="E336" i="4"/>
  <c r="E4" i="4"/>
  <c r="E8" i="4"/>
  <c r="E12" i="4"/>
  <c r="E16" i="4"/>
  <c r="E20" i="4"/>
  <c r="E24" i="4"/>
  <c r="E28" i="4"/>
  <c r="E71" i="4"/>
  <c r="E127" i="4"/>
  <c r="E457" i="4"/>
  <c r="E469" i="4"/>
  <c r="E545" i="4"/>
  <c r="E571" i="4"/>
  <c r="E853" i="4"/>
  <c r="E867" i="4"/>
  <c r="E941" i="4"/>
  <c r="E948" i="4"/>
  <c r="E64" i="4"/>
  <c r="E128" i="4"/>
  <c r="E537" i="4"/>
  <c r="E546" i="4"/>
  <c r="E225" i="4"/>
  <c r="E310" i="4"/>
  <c r="E547" i="4"/>
  <c r="E145" i="4"/>
  <c r="E149" i="4"/>
  <c r="E548" i="4"/>
  <c r="E322" i="4"/>
  <c r="E107" i="4"/>
  <c r="E234" i="4"/>
  <c r="E244" i="4"/>
  <c r="E265" i="4"/>
  <c r="E276" i="4"/>
  <c r="E287" i="4"/>
  <c r="E298" i="4"/>
  <c r="E311" i="4"/>
  <c r="E507" i="4"/>
  <c r="E331" i="4"/>
  <c r="E340" i="4"/>
  <c r="E42" i="4"/>
  <c r="E341" i="4"/>
  <c r="E119" i="4"/>
  <c r="E133" i="4"/>
  <c r="E167" i="4"/>
  <c r="E213" i="4"/>
  <c r="E470" i="4"/>
  <c r="E514" i="4"/>
  <c r="E559" i="4"/>
  <c r="E600" i="4"/>
  <c r="E679" i="4"/>
  <c r="E860" i="4"/>
  <c r="E861" i="4"/>
  <c r="E316" i="4"/>
  <c r="E328" i="4"/>
  <c r="E337" i="4"/>
  <c r="E342" i="4"/>
  <c r="E863" i="4"/>
  <c r="E97" i="4"/>
  <c r="E176" i="4"/>
  <c r="E226" i="4"/>
  <c r="E416" i="4"/>
  <c r="E422" i="4"/>
  <c r="E443" i="4"/>
  <c r="E806" i="4"/>
  <c r="E846" i="4"/>
  <c r="E412" i="4"/>
  <c r="E426" i="4"/>
  <c r="E868" i="4"/>
  <c r="E65" i="4"/>
  <c r="E168" i="4"/>
  <c r="E214" i="4"/>
  <c r="E43" i="4"/>
  <c r="E77" i="4"/>
  <c r="E98" i="4"/>
  <c r="E169" i="4"/>
  <c r="E215" i="4"/>
  <c r="E152" i="4"/>
  <c r="E158" i="4"/>
  <c r="E170" i="4"/>
  <c r="E177" i="4"/>
  <c r="E183" i="4"/>
  <c r="E193" i="4"/>
  <c r="E202" i="4"/>
  <c r="E216" i="4"/>
  <c r="E227" i="4"/>
  <c r="E235" i="4"/>
  <c r="E245" i="4"/>
  <c r="E254" i="4"/>
  <c r="E257" i="4"/>
  <c r="E266" i="4"/>
  <c r="E277" i="4"/>
  <c r="E288" i="4"/>
  <c r="E299" i="4"/>
  <c r="E312" i="4"/>
  <c r="E108" i="4"/>
  <c r="E113" i="4"/>
  <c r="E129" i="4"/>
  <c r="E427" i="4"/>
  <c r="E236" i="4"/>
  <c r="E246" i="4"/>
  <c r="E267" i="4"/>
  <c r="E278" i="4"/>
  <c r="E289" i="4"/>
  <c r="E300" i="4"/>
  <c r="E313" i="4"/>
  <c r="E480" i="4"/>
  <c r="E2" i="4"/>
  <c r="E237" i="4"/>
  <c r="E247" i="4"/>
  <c r="E268" i="4"/>
  <c r="E279" i="4"/>
  <c r="E290" i="4"/>
  <c r="E301" i="4"/>
  <c r="E314" i="4"/>
  <c r="E674" i="4"/>
  <c r="E721" i="4"/>
  <c r="E732" i="4"/>
  <c r="E743" i="4"/>
  <c r="E754" i="4"/>
  <c r="E66" i="4"/>
  <c r="E109" i="4"/>
  <c r="E428" i="4"/>
  <c r="E413" i="4"/>
  <c r="E417" i="4"/>
  <c r="E429" i="4"/>
  <c r="E449" i="4"/>
  <c r="E675" i="4"/>
  <c r="E689" i="4"/>
  <c r="E67" i="4"/>
  <c r="E110" i="4"/>
  <c r="E120" i="4"/>
  <c r="E130" i="4"/>
  <c r="E430" i="4"/>
  <c r="E450" i="4"/>
  <c r="E515" i="4"/>
  <c r="E540" i="4"/>
  <c r="E184" i="4"/>
  <c r="E228" i="4"/>
  <c r="E471" i="4"/>
  <c r="E325" i="4"/>
  <c r="E332" i="4"/>
  <c r="E5" i="4"/>
  <c r="E9" i="4"/>
  <c r="E13" i="4"/>
  <c r="E17" i="4"/>
  <c r="E21" i="4"/>
  <c r="E25" i="4"/>
  <c r="E29" i="4"/>
  <c r="E72" i="4"/>
  <c r="E99" i="4"/>
  <c r="E451" i="4"/>
  <c r="E472" i="4"/>
  <c r="E35" i="4"/>
  <c r="E217" i="4"/>
  <c r="E326" i="4"/>
  <c r="E333" i="4"/>
  <c r="E338" i="4"/>
  <c r="E6" i="4"/>
  <c r="E10" i="4"/>
  <c r="E14" i="4"/>
  <c r="E18" i="4"/>
  <c r="E22" i="4"/>
  <c r="E26" i="4"/>
  <c r="E30" i="4"/>
  <c r="E36" i="4"/>
  <c r="E44" i="4"/>
  <c r="E73" i="4"/>
  <c r="E89" i="4"/>
  <c r="E100" i="4"/>
  <c r="E131" i="4"/>
  <c r="E136" i="4"/>
  <c r="E153" i="4"/>
  <c r="E159" i="4"/>
  <c r="E178" i="4"/>
  <c r="E185" i="4"/>
  <c r="E218" i="4"/>
  <c r="E229" i="4"/>
  <c r="E238" i="4"/>
  <c r="E248" i="4"/>
  <c r="E255" i="4"/>
  <c r="E269" i="4"/>
  <c r="E280" i="4"/>
  <c r="E291" i="4"/>
  <c r="E302" i="4"/>
  <c r="E315" i="4"/>
  <c r="E80" i="4"/>
  <c r="E83" i="4"/>
  <c r="E90" i="4"/>
  <c r="E343" i="4"/>
  <c r="E171" i="4"/>
  <c r="E45" i="4"/>
  <c r="E101" i="4"/>
  <c r="E111" i="4"/>
  <c r="E418" i="4"/>
  <c r="E423" i="4"/>
  <c r="E437" i="4"/>
  <c r="E444" i="4"/>
  <c r="E452" i="4"/>
  <c r="E458" i="4"/>
  <c r="E473" i="4"/>
  <c r="E502" i="4"/>
  <c r="E524" i="4"/>
  <c r="E532" i="4"/>
  <c r="E551" i="4"/>
  <c r="E560" i="4"/>
  <c r="E572" i="4"/>
  <c r="E581" i="4"/>
  <c r="E587" i="4"/>
  <c r="E595" i="4"/>
  <c r="E630" i="4"/>
  <c r="E646" i="4"/>
  <c r="E662" i="4"/>
  <c r="E671" i="4"/>
  <c r="E680" i="4"/>
  <c r="E701" i="4"/>
  <c r="E707" i="4"/>
  <c r="E722" i="4"/>
  <c r="E733" i="4"/>
  <c r="E744" i="4"/>
  <c r="E755" i="4"/>
  <c r="E764" i="4"/>
  <c r="E807" i="4"/>
  <c r="E831" i="4"/>
  <c r="E839" i="4"/>
  <c r="E847" i="4"/>
  <c r="E854" i="4"/>
  <c r="E869" i="4"/>
  <c r="E893" i="4"/>
  <c r="E902" i="4"/>
  <c r="E942" i="4"/>
  <c r="E949" i="4"/>
  <c r="E952" i="4"/>
  <c r="E963" i="4"/>
  <c r="E976" i="4"/>
  <c r="E984" i="4"/>
  <c r="E992" i="4"/>
  <c r="E1000" i="4"/>
  <c r="E46" i="4"/>
  <c r="E102" i="4"/>
  <c r="E194" i="4"/>
  <c r="E203" i="4"/>
  <c r="E219" i="4"/>
  <c r="E459" i="4"/>
  <c r="E491" i="4"/>
  <c r="E503" i="4"/>
  <c r="E561" i="4"/>
  <c r="E832" i="4"/>
  <c r="E840" i="4"/>
  <c r="E841" i="4"/>
  <c r="E855" i="4"/>
  <c r="E931" i="4"/>
  <c r="E47" i="4"/>
  <c r="E81" i="4"/>
  <c r="E84" i="4"/>
  <c r="E91" i="4"/>
  <c r="E103" i="4"/>
  <c r="E112" i="4"/>
  <c r="E172" i="4"/>
  <c r="E220" i="4"/>
  <c r="E460" i="4"/>
  <c r="E525" i="4"/>
  <c r="E533" i="4"/>
  <c r="E856" i="4"/>
  <c r="E857" i="4"/>
  <c r="E53" i="4"/>
  <c r="E440" i="4"/>
  <c r="E48" i="4"/>
  <c r="E78" i="4"/>
  <c r="E104" i="4"/>
  <c r="E54" i="4"/>
  <c r="E121" i="4"/>
  <c r="E124" i="4"/>
  <c r="E68" i="4"/>
  <c r="E122" i="4"/>
  <c r="E55" i="4"/>
  <c r="E249" i="4"/>
  <c r="E258" i="4"/>
  <c r="E920" i="4"/>
  <c r="E56" i="4"/>
  <c r="E69" i="4"/>
  <c r="E894" i="4"/>
  <c r="E903" i="4"/>
  <c r="E953" i="4"/>
  <c r="E964" i="4"/>
  <c r="E977" i="4"/>
  <c r="E985" i="4"/>
  <c r="E993" i="4"/>
  <c r="E1001" i="4"/>
  <c r="E895" i="4"/>
  <c r="E904" i="4"/>
  <c r="E954" i="4"/>
  <c r="E965" i="4"/>
  <c r="E978" i="4"/>
  <c r="E986" i="4"/>
  <c r="E994" i="4"/>
  <c r="E1002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71" i="4"/>
  <c r="E419" i="4"/>
  <c r="E424" i="4"/>
  <c r="E438" i="4"/>
  <c r="E445" i="4"/>
  <c r="E453" i="4"/>
  <c r="E461" i="4"/>
  <c r="E474" i="4"/>
  <c r="E486" i="4"/>
  <c r="E492" i="4"/>
  <c r="E496" i="4"/>
  <c r="E504" i="4"/>
  <c r="E526" i="4"/>
  <c r="E534" i="4"/>
  <c r="E552" i="4"/>
  <c r="E562" i="4"/>
  <c r="E573" i="4"/>
  <c r="E577" i="4"/>
  <c r="E582" i="4"/>
  <c r="E588" i="4"/>
  <c r="E596" i="4"/>
  <c r="E601" i="4"/>
  <c r="E631" i="4"/>
  <c r="E647" i="4"/>
  <c r="E663" i="4"/>
  <c r="E681" i="4"/>
  <c r="E702" i="4"/>
  <c r="E708" i="4"/>
  <c r="E723" i="4"/>
  <c r="E734" i="4"/>
  <c r="E745" i="4"/>
  <c r="E756" i="4"/>
  <c r="E765" i="4"/>
  <c r="E808" i="4"/>
  <c r="E833" i="4"/>
  <c r="E842" i="4"/>
  <c r="E848" i="4"/>
  <c r="E858" i="4"/>
  <c r="E870" i="4"/>
  <c r="E932" i="4"/>
  <c r="E943" i="4"/>
  <c r="E950" i="4"/>
  <c r="E370" i="4"/>
  <c r="E484" i="4"/>
  <c r="E462" i="4"/>
  <c r="E475" i="4"/>
  <c r="E485" i="4"/>
  <c r="E488" i="4"/>
  <c r="E489" i="4"/>
  <c r="E508" i="4"/>
  <c r="E553" i="4"/>
  <c r="E555" i="4"/>
  <c r="E563" i="4"/>
  <c r="E574" i="4"/>
  <c r="E583" i="4"/>
  <c r="E589" i="4"/>
  <c r="E597" i="4"/>
  <c r="E602" i="4"/>
  <c r="E622" i="4"/>
  <c r="E632" i="4"/>
  <c r="E648" i="4"/>
  <c r="E656" i="4"/>
  <c r="E664" i="4"/>
  <c r="E672" i="4"/>
  <c r="E682" i="4"/>
  <c r="E686" i="4"/>
  <c r="E693" i="4"/>
  <c r="E695" i="4"/>
  <c r="E703" i="4"/>
  <c r="E710" i="4"/>
  <c r="E714" i="4"/>
  <c r="E724" i="4"/>
  <c r="E735" i="4"/>
  <c r="E746" i="4"/>
  <c r="E757" i="4"/>
  <c r="E766" i="4"/>
  <c r="E769" i="4"/>
  <c r="E810" i="4"/>
  <c r="E813" i="4"/>
  <c r="E816" i="4"/>
  <c r="E819" i="4"/>
  <c r="E822" i="4"/>
  <c r="E825" i="4"/>
  <c r="E828" i="4"/>
  <c r="E843" i="4"/>
  <c r="E881" i="4"/>
  <c r="E887" i="4"/>
  <c r="E896" i="4"/>
  <c r="E905" i="4"/>
  <c r="E910" i="4"/>
  <c r="E955" i="4"/>
  <c r="E959" i="4"/>
  <c r="E966" i="4"/>
  <c r="E970" i="4"/>
  <c r="E979" i="4"/>
  <c r="E987" i="4"/>
  <c r="E995" i="4"/>
  <c r="E1003" i="4"/>
  <c r="E1008" i="4"/>
  <c r="E610" i="4"/>
  <c r="E633" i="4"/>
  <c r="E611" i="4"/>
  <c r="E634" i="4"/>
  <c r="E493" i="4"/>
  <c r="E497" i="4"/>
  <c r="E612" i="4"/>
  <c r="E635" i="4"/>
  <c r="E613" i="4"/>
  <c r="E636" i="4"/>
  <c r="E505" i="4"/>
  <c r="E614" i="4"/>
  <c r="E649" i="4"/>
  <c r="E615" i="4"/>
  <c r="E650" i="4"/>
  <c r="E616" i="4"/>
  <c r="E651" i="4"/>
  <c r="E617" i="4"/>
  <c r="E652" i="4"/>
  <c r="E618" i="4"/>
  <c r="E653" i="4"/>
  <c r="E620" i="4"/>
  <c r="E66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1013" i="4"/>
  <c r="E411" i="4"/>
  <c r="E564" i="4"/>
  <c r="E666" i="4"/>
  <c r="E862" i="4"/>
  <c r="E1011" i="4"/>
  <c r="E1015" i="4"/>
  <c r="E565" i="4"/>
  <c r="E667" i="4"/>
  <c r="E1017" i="4"/>
  <c r="E431" i="4"/>
  <c r="E481" i="4"/>
  <c r="E414" i="4"/>
  <c r="E420" i="4"/>
  <c r="E432" i="4"/>
  <c r="E466" i="4"/>
  <c r="E476" i="4"/>
  <c r="E509" i="4"/>
  <c r="E516" i="4"/>
  <c r="E603" i="4"/>
  <c r="E517" i="4"/>
  <c r="E477" i="4"/>
  <c r="E604" i="4"/>
  <c r="E433" i="4"/>
  <c r="E482" i="4"/>
  <c r="E770" i="4"/>
  <c r="E483" i="4"/>
  <c r="E771" i="4"/>
  <c r="E566" i="4"/>
  <c r="E575" i="4"/>
  <c r="E590" i="4"/>
  <c r="E605" i="4"/>
  <c r="E637" i="4"/>
  <c r="E654" i="4"/>
  <c r="E668" i="4"/>
  <c r="E683" i="4"/>
  <c r="E696" i="4"/>
  <c r="E704" i="4"/>
  <c r="E711" i="4"/>
  <c r="E715" i="4"/>
  <c r="E725" i="4"/>
  <c r="E736" i="4"/>
  <c r="E747" i="4"/>
  <c r="E758" i="4"/>
  <c r="E772" i="4"/>
  <c r="E538" i="4"/>
  <c r="E591" i="4"/>
  <c r="E871" i="4"/>
  <c r="E882" i="4"/>
  <c r="E897" i="4"/>
  <c r="E911" i="4"/>
  <c r="E915" i="4"/>
  <c r="E921" i="4"/>
  <c r="E925" i="4"/>
  <c r="E463" i="4"/>
  <c r="E578" i="4"/>
  <c r="E933" i="4"/>
  <c r="E876" i="4"/>
  <c r="E973" i="4"/>
  <c r="E536" i="4"/>
  <c r="E567" i="4"/>
  <c r="E606" i="4"/>
  <c r="E454" i="4"/>
  <c r="E464" i="4"/>
  <c r="E465" i="4"/>
  <c r="E478" i="4"/>
  <c r="E527" i="4"/>
  <c r="E535" i="4"/>
  <c r="E541" i="4"/>
  <c r="E619" i="4"/>
  <c r="E657" i="4"/>
  <c r="E684" i="4"/>
  <c r="E697" i="4"/>
  <c r="E705" i="4"/>
  <c r="E726" i="4"/>
  <c r="E737" i="4"/>
  <c r="E748" i="4"/>
  <c r="E759" i="4"/>
  <c r="E712" i="4"/>
  <c r="E716" i="4"/>
  <c r="E727" i="4"/>
  <c r="E738" i="4"/>
  <c r="E749" i="4"/>
  <c r="E760" i="4"/>
  <c r="E782" i="4"/>
  <c r="E783" i="4"/>
  <c r="E785" i="4"/>
  <c r="E786" i="4"/>
  <c r="E788" i="4"/>
  <c r="E789" i="4"/>
  <c r="E791" i="4"/>
  <c r="E792" i="4"/>
  <c r="E794" i="4"/>
  <c r="E795" i="4"/>
  <c r="E797" i="4"/>
  <c r="E798" i="4"/>
  <c r="E800" i="4"/>
  <c r="E801" i="4"/>
  <c r="E803" i="4"/>
  <c r="E804" i="4"/>
  <c r="E811" i="4"/>
  <c r="E814" i="4"/>
  <c r="E817" i="4"/>
  <c r="E820" i="4"/>
  <c r="E823" i="4"/>
  <c r="E826" i="4"/>
  <c r="E829" i="4"/>
  <c r="E834" i="4"/>
  <c r="E844" i="4"/>
  <c r="E859" i="4"/>
  <c r="E883" i="4"/>
  <c r="E888" i="4"/>
  <c r="E873" i="4"/>
  <c r="E875" i="4"/>
  <c r="E877" i="4"/>
  <c r="E884" i="4"/>
  <c r="E889" i="4"/>
  <c r="E898" i="4"/>
  <c r="E906" i="4"/>
  <c r="E912" i="4"/>
  <c r="E916" i="4"/>
  <c r="E922" i="4"/>
  <c r="E927" i="4"/>
  <c r="E934" i="4"/>
  <c r="E878" i="4"/>
  <c r="E899" i="4"/>
  <c r="E907" i="4"/>
  <c r="E879" i="4"/>
  <c r="E885" i="4"/>
  <c r="E890" i="4"/>
  <c r="E900" i="4"/>
  <c r="E908" i="4"/>
  <c r="E917" i="4"/>
  <c r="E923" i="4"/>
  <c r="E928" i="4"/>
  <c r="E935" i="4"/>
  <c r="E936" i="4"/>
  <c r="E944" i="4"/>
  <c r="E945" i="4"/>
  <c r="E956" i="4"/>
  <c r="E960" i="4"/>
  <c r="E967" i="4"/>
  <c r="E971" i="4"/>
  <c r="E974" i="4"/>
  <c r="E980" i="4"/>
  <c r="E988" i="4"/>
  <c r="E996" i="4"/>
  <c r="E1004" i="4"/>
  <c r="E1009" i="4"/>
  <c r="E957" i="4"/>
  <c r="E961" i="4"/>
  <c r="E968" i="4"/>
  <c r="E972" i="4"/>
  <c r="E981" i="4"/>
  <c r="E989" i="4"/>
  <c r="E997" i="4"/>
  <c r="E1005" i="4"/>
  <c r="E1010" i="4"/>
  <c r="E982" i="4"/>
  <c r="E990" i="4"/>
  <c r="E998" i="4"/>
  <c r="E1006" i="4"/>
  <c r="E1014" i="4"/>
  <c r="E1018" i="4"/>
  <c r="I49" i="4"/>
  <c r="I849" i="4"/>
  <c r="I865" i="4"/>
  <c r="I154" i="4"/>
  <c r="I186" i="4"/>
  <c r="I607" i="4"/>
  <c r="I623" i="4"/>
  <c r="I344" i="4"/>
  <c r="I809" i="4"/>
  <c r="I812" i="4"/>
  <c r="I815" i="4"/>
  <c r="I818" i="4"/>
  <c r="I821" i="4"/>
  <c r="I824" i="4"/>
  <c r="I827" i="4"/>
  <c r="I835" i="4"/>
  <c r="I850" i="4"/>
  <c r="I187" i="4"/>
  <c r="I624" i="4"/>
  <c r="I345" i="4"/>
  <c r="I441" i="4"/>
  <c r="I188" i="4"/>
  <c r="I494" i="4"/>
  <c r="I498" i="4"/>
  <c r="I520" i="4"/>
  <c r="I521" i="4"/>
  <c r="I528" i="4"/>
  <c r="I529" i="4"/>
  <c r="I625" i="4"/>
  <c r="I346" i="4"/>
  <c r="I1019" i="4"/>
  <c r="I1020" i="4"/>
  <c r="I189" i="4"/>
  <c r="I626" i="4"/>
  <c r="I347" i="4"/>
  <c r="I195" i="4"/>
  <c r="I499" i="4"/>
  <c r="I608" i="4"/>
  <c r="I638" i="4"/>
  <c r="I348" i="4"/>
  <c r="I50" i="4"/>
  <c r="I872" i="4"/>
  <c r="I874" i="4"/>
  <c r="I37" i="4"/>
  <c r="I74" i="4"/>
  <c r="I92" i="4"/>
  <c r="I446" i="4"/>
  <c r="I909" i="4"/>
  <c r="I913" i="4"/>
  <c r="I918" i="4"/>
  <c r="I926" i="4"/>
  <c r="I929" i="4"/>
  <c r="I51" i="4"/>
  <c r="I891" i="4"/>
  <c r="I901" i="4"/>
  <c r="I57" i="4"/>
  <c r="I880" i="4"/>
  <c r="I886" i="4"/>
  <c r="I173" i="4"/>
  <c r="I930" i="4"/>
  <c r="I134" i="4"/>
  <c r="I196" i="4"/>
  <c r="I639" i="4"/>
  <c r="I349" i="4"/>
  <c r="I197" i="4"/>
  <c r="I640" i="4"/>
  <c r="I350" i="4"/>
  <c r="I198" i="4"/>
  <c r="I641" i="4"/>
  <c r="I351" i="4"/>
  <c r="I85" i="4"/>
  <c r="I642" i="4"/>
  <c r="I352" i="4"/>
  <c r="I31" i="4"/>
  <c r="I155" i="4"/>
  <c r="I204" i="4"/>
  <c r="I303" i="4"/>
  <c r="I609" i="4"/>
  <c r="I658" i="4"/>
  <c r="I836" i="4"/>
  <c r="I353" i="4"/>
  <c r="I455" i="4"/>
  <c r="I179" i="4"/>
  <c r="I221" i="4"/>
  <c r="I467" i="4"/>
  <c r="I304" i="4"/>
  <c r="I479" i="4"/>
  <c r="I58" i="4"/>
  <c r="I137" i="4"/>
  <c r="I435" i="4"/>
  <c r="I556" i="4"/>
  <c r="I568" i="4"/>
  <c r="I576" i="4"/>
  <c r="I659" i="4"/>
  <c r="I698" i="4"/>
  <c r="I717" i="4"/>
  <c r="I728" i="4"/>
  <c r="I739" i="4"/>
  <c r="I750" i="4"/>
  <c r="I773" i="4"/>
  <c r="I774" i="4"/>
  <c r="I775" i="4"/>
  <c r="I776" i="4"/>
  <c r="I777" i="4"/>
  <c r="I778" i="4"/>
  <c r="I779" i="4"/>
  <c r="I780" i="4"/>
  <c r="I937" i="4"/>
  <c r="I938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52" i="4"/>
  <c r="I59" i="4"/>
  <c r="I439" i="4"/>
  <c r="I447" i="4"/>
  <c r="I951" i="4"/>
  <c r="I958" i="4"/>
  <c r="I962" i="4"/>
  <c r="I969" i="4"/>
  <c r="I975" i="4"/>
  <c r="I983" i="4"/>
  <c r="I991" i="4"/>
  <c r="I999" i="4"/>
  <c r="I1007" i="4"/>
  <c r="I114" i="4"/>
  <c r="I115" i="4"/>
  <c r="I116" i="4"/>
  <c r="I117" i="4"/>
  <c r="I132" i="4"/>
  <c r="I118" i="4"/>
  <c r="I123" i="4"/>
  <c r="I160" i="4"/>
  <c r="I205" i="4"/>
  <c r="I1012" i="4"/>
  <c r="I1016" i="4"/>
  <c r="I60" i="4"/>
  <c r="I781" i="4"/>
  <c r="I784" i="4"/>
  <c r="I787" i="4"/>
  <c r="I790" i="4"/>
  <c r="I793" i="4"/>
  <c r="I796" i="4"/>
  <c r="I799" i="4"/>
  <c r="I802" i="4"/>
  <c r="I140" i="4"/>
  <c r="I141" i="4"/>
  <c r="I142" i="4"/>
  <c r="I146" i="4"/>
  <c r="I156" i="4"/>
  <c r="I549" i="4"/>
  <c r="I150" i="4"/>
  <c r="I161" i="4"/>
  <c r="I174" i="4"/>
  <c r="I180" i="4"/>
  <c r="I554" i="4"/>
  <c r="I557" i="4"/>
  <c r="I569" i="4"/>
  <c r="I579" i="4"/>
  <c r="I584" i="4"/>
  <c r="I592" i="4"/>
  <c r="I598" i="4"/>
  <c r="I206" i="4"/>
  <c r="I621" i="4"/>
  <c r="I627" i="4"/>
  <c r="I190" i="4"/>
  <c r="I643" i="4"/>
  <c r="I199" i="4"/>
  <c r="I655" i="4"/>
  <c r="I660" i="4"/>
  <c r="I207" i="4"/>
  <c r="I669" i="4"/>
  <c r="I673" i="4"/>
  <c r="I676" i="4"/>
  <c r="I222" i="4"/>
  <c r="I685" i="4"/>
  <c r="I687" i="4"/>
  <c r="I259" i="4"/>
  <c r="I270" i="4"/>
  <c r="I281" i="4"/>
  <c r="I292" i="4"/>
  <c r="I690" i="4"/>
  <c r="I230" i="4"/>
  <c r="I239" i="4"/>
  <c r="I260" i="4"/>
  <c r="I271" i="4"/>
  <c r="I282" i="4"/>
  <c r="I293" i="4"/>
  <c r="I691" i="4"/>
  <c r="I231" i="4"/>
  <c r="I240" i="4"/>
  <c r="I261" i="4"/>
  <c r="I272" i="4"/>
  <c r="I283" i="4"/>
  <c r="I294" i="4"/>
  <c r="I305" i="4"/>
  <c r="I688" i="4"/>
  <c r="I767" i="4"/>
  <c r="I232" i="4"/>
  <c r="I241" i="4"/>
  <c r="I250" i="4"/>
  <c r="I262" i="4"/>
  <c r="I273" i="4"/>
  <c r="I284" i="4"/>
  <c r="I295" i="4"/>
  <c r="I306" i="4"/>
  <c r="I692" i="4"/>
  <c r="I694" i="4"/>
  <c r="I699" i="4"/>
  <c r="I256" i="4"/>
  <c r="I709" i="4"/>
  <c r="I713" i="4"/>
  <c r="I251" i="4"/>
  <c r="I718" i="4"/>
  <c r="I729" i="4"/>
  <c r="I740" i="4"/>
  <c r="I751" i="4"/>
  <c r="I761" i="4"/>
  <c r="I768" i="4"/>
  <c r="I317" i="4"/>
  <c r="I318" i="4"/>
  <c r="I368" i="4"/>
  <c r="I319" i="4"/>
  <c r="I320" i="4"/>
  <c r="I321" i="4"/>
  <c r="I369" i="4"/>
  <c r="I487" i="4"/>
  <c r="I506" i="4"/>
  <c r="I61" i="4"/>
  <c r="I242" i="4"/>
  <c r="I252" i="4"/>
  <c r="I434" i="4"/>
  <c r="I544" i="4"/>
  <c r="I706" i="4"/>
  <c r="I864" i="4"/>
  <c r="I892" i="4"/>
  <c r="I914" i="4"/>
  <c r="I919" i="4"/>
  <c r="I924" i="4"/>
  <c r="I946" i="4"/>
  <c r="I38" i="4"/>
  <c r="I75" i="4"/>
  <c r="I93" i="4"/>
  <c r="I162" i="4"/>
  <c r="I191" i="4"/>
  <c r="I200" i="4"/>
  <c r="I208" i="4"/>
  <c r="I510" i="4"/>
  <c r="I143" i="4"/>
  <c r="I147" i="4"/>
  <c r="I32" i="4"/>
  <c r="I62" i="4"/>
  <c r="I138" i="4"/>
  <c r="I263" i="4"/>
  <c r="I274" i="4"/>
  <c r="I285" i="4"/>
  <c r="I296" i="4"/>
  <c r="I719" i="4"/>
  <c r="I730" i="4"/>
  <c r="I741" i="4"/>
  <c r="I752" i="4"/>
  <c r="I327" i="4"/>
  <c r="I511" i="4"/>
  <c r="I585" i="4"/>
  <c r="I628" i="4"/>
  <c r="I644" i="4"/>
  <c r="I307" i="4"/>
  <c r="I512" i="4"/>
  <c r="I837" i="4"/>
  <c r="I339" i="4"/>
  <c r="I105" i="4"/>
  <c r="I425" i="4"/>
  <c r="I513" i="4"/>
  <c r="I181" i="4"/>
  <c r="I223" i="4"/>
  <c r="I308" i="4"/>
  <c r="I518" i="4"/>
  <c r="I593" i="4"/>
  <c r="I677" i="4"/>
  <c r="I762" i="4"/>
  <c r="I33" i="4"/>
  <c r="I39" i="4"/>
  <c r="I76" i="4"/>
  <c r="I86" i="4"/>
  <c r="I94" i="4"/>
  <c r="I163" i="4"/>
  <c r="I192" i="4"/>
  <c r="I201" i="4"/>
  <c r="I209" i="4"/>
  <c r="I490" i="4"/>
  <c r="I500" i="4"/>
  <c r="I830" i="4"/>
  <c r="I323" i="4"/>
  <c r="I329" i="4"/>
  <c r="I334" i="4"/>
  <c r="I3" i="4"/>
  <c r="I7" i="4"/>
  <c r="I11" i="4"/>
  <c r="I15" i="4"/>
  <c r="I19" i="4"/>
  <c r="I23" i="4"/>
  <c r="I27" i="4"/>
  <c r="I34" i="4"/>
  <c r="I40" i="4"/>
  <c r="I70" i="4"/>
  <c r="I87" i="4"/>
  <c r="I95" i="4"/>
  <c r="I125" i="4"/>
  <c r="I135" i="4"/>
  <c r="I151" i="4"/>
  <c r="I157" i="4"/>
  <c r="I175" i="4"/>
  <c r="I182" i="4"/>
  <c r="I210" i="4"/>
  <c r="I224" i="4"/>
  <c r="I233" i="4"/>
  <c r="I243" i="4"/>
  <c r="I253" i="4"/>
  <c r="I264" i="4"/>
  <c r="I275" i="4"/>
  <c r="I286" i="4"/>
  <c r="I297" i="4"/>
  <c r="I309" i="4"/>
  <c r="I415" i="4"/>
  <c r="I421" i="4"/>
  <c r="I436" i="4"/>
  <c r="I442" i="4"/>
  <c r="I448" i="4"/>
  <c r="I456" i="4"/>
  <c r="I468" i="4"/>
  <c r="I495" i="4"/>
  <c r="I501" i="4"/>
  <c r="I522" i="4"/>
  <c r="I530" i="4"/>
  <c r="I550" i="4"/>
  <c r="I558" i="4"/>
  <c r="I570" i="4"/>
  <c r="I580" i="4"/>
  <c r="I586" i="4"/>
  <c r="I594" i="4"/>
  <c r="I599" i="4"/>
  <c r="I629" i="4"/>
  <c r="I645" i="4"/>
  <c r="I661" i="4"/>
  <c r="I670" i="4"/>
  <c r="I678" i="4"/>
  <c r="I700" i="4"/>
  <c r="I720" i="4"/>
  <c r="I731" i="4"/>
  <c r="I742" i="4"/>
  <c r="I753" i="4"/>
  <c r="I763" i="4"/>
  <c r="I805" i="4"/>
  <c r="I838" i="4"/>
  <c r="I845" i="4"/>
  <c r="I851" i="4"/>
  <c r="I866" i="4"/>
  <c r="I939" i="4"/>
  <c r="I947" i="4"/>
  <c r="I164" i="4"/>
  <c r="I211" i="4"/>
  <c r="I940" i="4"/>
  <c r="I335" i="4"/>
  <c r="I165" i="4"/>
  <c r="I519" i="4"/>
  <c r="I41" i="4"/>
  <c r="I79" i="4"/>
  <c r="I82" i="4"/>
  <c r="I88" i="4"/>
  <c r="I96" i="4"/>
  <c r="I106" i="4"/>
  <c r="I166" i="4"/>
  <c r="I212" i="4"/>
  <c r="I523" i="4"/>
  <c r="I531" i="4"/>
  <c r="I852" i="4"/>
  <c r="I63" i="4"/>
  <c r="I126" i="4"/>
  <c r="I539" i="4"/>
  <c r="I144" i="4"/>
  <c r="I148" i="4"/>
  <c r="I139" i="4"/>
  <c r="I542" i="4"/>
  <c r="I543" i="4"/>
  <c r="I324" i="4"/>
  <c r="I330" i="4"/>
  <c r="I336" i="4"/>
  <c r="I4" i="4"/>
  <c r="I8" i="4"/>
  <c r="I12" i="4"/>
  <c r="I16" i="4"/>
  <c r="I20" i="4"/>
  <c r="I24" i="4"/>
  <c r="I28" i="4"/>
  <c r="I71" i="4"/>
  <c r="I127" i="4"/>
  <c r="I457" i="4"/>
  <c r="I469" i="4"/>
  <c r="I545" i="4"/>
  <c r="I571" i="4"/>
  <c r="I853" i="4"/>
  <c r="I867" i="4"/>
  <c r="I941" i="4"/>
  <c r="I948" i="4"/>
  <c r="I64" i="4"/>
  <c r="I128" i="4"/>
  <c r="I537" i="4"/>
  <c r="I546" i="4"/>
  <c r="I225" i="4"/>
  <c r="I310" i="4"/>
  <c r="I547" i="4"/>
  <c r="I145" i="4"/>
  <c r="I149" i="4"/>
  <c r="I548" i="4"/>
  <c r="I322" i="4"/>
  <c r="I107" i="4"/>
  <c r="I234" i="4"/>
  <c r="I244" i="4"/>
  <c r="I265" i="4"/>
  <c r="I276" i="4"/>
  <c r="I287" i="4"/>
  <c r="I298" i="4"/>
  <c r="I311" i="4"/>
  <c r="I507" i="4"/>
  <c r="I331" i="4"/>
  <c r="I340" i="4"/>
  <c r="I42" i="4"/>
  <c r="I341" i="4"/>
  <c r="I119" i="4"/>
  <c r="I133" i="4"/>
  <c r="I167" i="4"/>
  <c r="I213" i="4"/>
  <c r="I470" i="4"/>
  <c r="I514" i="4"/>
  <c r="I559" i="4"/>
  <c r="I600" i="4"/>
  <c r="I679" i="4"/>
  <c r="I860" i="4"/>
  <c r="I861" i="4"/>
  <c r="I316" i="4"/>
  <c r="I328" i="4"/>
  <c r="I337" i="4"/>
  <c r="I342" i="4"/>
  <c r="I863" i="4"/>
  <c r="I97" i="4"/>
  <c r="I176" i="4"/>
  <c r="I226" i="4"/>
  <c r="I416" i="4"/>
  <c r="I422" i="4"/>
  <c r="I443" i="4"/>
  <c r="I806" i="4"/>
  <c r="I846" i="4"/>
  <c r="I412" i="4"/>
  <c r="I426" i="4"/>
  <c r="I868" i="4"/>
  <c r="I65" i="4"/>
  <c r="I168" i="4"/>
  <c r="I214" i="4"/>
  <c r="I43" i="4"/>
  <c r="I77" i="4"/>
  <c r="I98" i="4"/>
  <c r="I169" i="4"/>
  <c r="I215" i="4"/>
  <c r="I152" i="4"/>
  <c r="I158" i="4"/>
  <c r="I170" i="4"/>
  <c r="I177" i="4"/>
  <c r="I183" i="4"/>
  <c r="I193" i="4"/>
  <c r="I202" i="4"/>
  <c r="I216" i="4"/>
  <c r="I227" i="4"/>
  <c r="I235" i="4"/>
  <c r="I245" i="4"/>
  <c r="I254" i="4"/>
  <c r="I257" i="4"/>
  <c r="I266" i="4"/>
  <c r="I277" i="4"/>
  <c r="I288" i="4"/>
  <c r="I299" i="4"/>
  <c r="I312" i="4"/>
  <c r="I108" i="4"/>
  <c r="I113" i="4"/>
  <c r="I129" i="4"/>
  <c r="I427" i="4"/>
  <c r="I236" i="4"/>
  <c r="I246" i="4"/>
  <c r="I267" i="4"/>
  <c r="I278" i="4"/>
  <c r="I289" i="4"/>
  <c r="I300" i="4"/>
  <c r="I313" i="4"/>
  <c r="I480" i="4"/>
  <c r="I2" i="4"/>
  <c r="I237" i="4"/>
  <c r="I247" i="4"/>
  <c r="I268" i="4"/>
  <c r="I279" i="4"/>
  <c r="I290" i="4"/>
  <c r="I301" i="4"/>
  <c r="I314" i="4"/>
  <c r="I674" i="4"/>
  <c r="I721" i="4"/>
  <c r="I732" i="4"/>
  <c r="I743" i="4"/>
  <c r="I754" i="4"/>
  <c r="I66" i="4"/>
  <c r="I109" i="4"/>
  <c r="I428" i="4"/>
  <c r="I413" i="4"/>
  <c r="I417" i="4"/>
  <c r="I429" i="4"/>
  <c r="I449" i="4"/>
  <c r="I675" i="4"/>
  <c r="I689" i="4"/>
  <c r="I67" i="4"/>
  <c r="I110" i="4"/>
  <c r="I120" i="4"/>
  <c r="I130" i="4"/>
  <c r="I430" i="4"/>
  <c r="I450" i="4"/>
  <c r="I515" i="4"/>
  <c r="I540" i="4"/>
  <c r="I184" i="4"/>
  <c r="I228" i="4"/>
  <c r="I471" i="4"/>
  <c r="I325" i="4"/>
  <c r="I332" i="4"/>
  <c r="I5" i="4"/>
  <c r="I9" i="4"/>
  <c r="I13" i="4"/>
  <c r="I17" i="4"/>
  <c r="I21" i="4"/>
  <c r="I25" i="4"/>
  <c r="I29" i="4"/>
  <c r="I72" i="4"/>
  <c r="I99" i="4"/>
  <c r="I451" i="4"/>
  <c r="I472" i="4"/>
  <c r="I35" i="4"/>
  <c r="I217" i="4"/>
  <c r="I326" i="4"/>
  <c r="I333" i="4"/>
  <c r="I338" i="4"/>
  <c r="I6" i="4"/>
  <c r="I10" i="4"/>
  <c r="I14" i="4"/>
  <c r="I18" i="4"/>
  <c r="I22" i="4"/>
  <c r="I26" i="4"/>
  <c r="I30" i="4"/>
  <c r="I36" i="4"/>
  <c r="I44" i="4"/>
  <c r="I73" i="4"/>
  <c r="I89" i="4"/>
  <c r="I100" i="4"/>
  <c r="I131" i="4"/>
  <c r="I136" i="4"/>
  <c r="I153" i="4"/>
  <c r="I159" i="4"/>
  <c r="I178" i="4"/>
  <c r="I185" i="4"/>
  <c r="I218" i="4"/>
  <c r="I229" i="4"/>
  <c r="I238" i="4"/>
  <c r="I248" i="4"/>
  <c r="I255" i="4"/>
  <c r="I269" i="4"/>
  <c r="I280" i="4"/>
  <c r="I291" i="4"/>
  <c r="I302" i="4"/>
  <c r="I315" i="4"/>
  <c r="I80" i="4"/>
  <c r="I83" i="4"/>
  <c r="I90" i="4"/>
  <c r="I343" i="4"/>
  <c r="I171" i="4"/>
  <c r="I45" i="4"/>
  <c r="I101" i="4"/>
  <c r="I111" i="4"/>
  <c r="I418" i="4"/>
  <c r="I423" i="4"/>
  <c r="I437" i="4"/>
  <c r="I444" i="4"/>
  <c r="I452" i="4"/>
  <c r="I458" i="4"/>
  <c r="I473" i="4"/>
  <c r="I502" i="4"/>
  <c r="I524" i="4"/>
  <c r="I532" i="4"/>
  <c r="I551" i="4"/>
  <c r="I560" i="4"/>
  <c r="I572" i="4"/>
  <c r="I581" i="4"/>
  <c r="I587" i="4"/>
  <c r="I595" i="4"/>
  <c r="I630" i="4"/>
  <c r="I646" i="4"/>
  <c r="I662" i="4"/>
  <c r="I671" i="4"/>
  <c r="I680" i="4"/>
  <c r="I701" i="4"/>
  <c r="I707" i="4"/>
  <c r="I722" i="4"/>
  <c r="I733" i="4"/>
  <c r="I744" i="4"/>
  <c r="I755" i="4"/>
  <c r="I764" i="4"/>
  <c r="I807" i="4"/>
  <c r="I831" i="4"/>
  <c r="I839" i="4"/>
  <c r="I847" i="4"/>
  <c r="I854" i="4"/>
  <c r="I869" i="4"/>
  <c r="I893" i="4"/>
  <c r="I902" i="4"/>
  <c r="I942" i="4"/>
  <c r="I949" i="4"/>
  <c r="I952" i="4"/>
  <c r="I963" i="4"/>
  <c r="I976" i="4"/>
  <c r="I984" i="4"/>
  <c r="I992" i="4"/>
  <c r="I1000" i="4"/>
  <c r="I46" i="4"/>
  <c r="I102" i="4"/>
  <c r="I194" i="4"/>
  <c r="I203" i="4"/>
  <c r="I219" i="4"/>
  <c r="I459" i="4"/>
  <c r="I491" i="4"/>
  <c r="I503" i="4"/>
  <c r="I561" i="4"/>
  <c r="I832" i="4"/>
  <c r="I840" i="4"/>
  <c r="I841" i="4"/>
  <c r="I855" i="4"/>
  <c r="I931" i="4"/>
  <c r="I47" i="4"/>
  <c r="I81" i="4"/>
  <c r="I84" i="4"/>
  <c r="I91" i="4"/>
  <c r="I103" i="4"/>
  <c r="I112" i="4"/>
  <c r="I172" i="4"/>
  <c r="I220" i="4"/>
  <c r="I460" i="4"/>
  <c r="I525" i="4"/>
  <c r="I533" i="4"/>
  <c r="I856" i="4"/>
  <c r="I857" i="4"/>
  <c r="I53" i="4"/>
  <c r="I440" i="4"/>
  <c r="I48" i="4"/>
  <c r="I78" i="4"/>
  <c r="I104" i="4"/>
  <c r="I54" i="4"/>
  <c r="I121" i="4"/>
  <c r="I124" i="4"/>
  <c r="I68" i="4"/>
  <c r="I122" i="4"/>
  <c r="I55" i="4"/>
  <c r="I249" i="4"/>
  <c r="I258" i="4"/>
  <c r="I920" i="4"/>
  <c r="I56" i="4"/>
  <c r="I69" i="4"/>
  <c r="I894" i="4"/>
  <c r="I903" i="4"/>
  <c r="I953" i="4"/>
  <c r="I964" i="4"/>
  <c r="I977" i="4"/>
  <c r="I985" i="4"/>
  <c r="I993" i="4"/>
  <c r="I1001" i="4"/>
  <c r="I895" i="4"/>
  <c r="I904" i="4"/>
  <c r="I954" i="4"/>
  <c r="I965" i="4"/>
  <c r="I978" i="4"/>
  <c r="I986" i="4"/>
  <c r="I994" i="4"/>
  <c r="I1002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71" i="4"/>
  <c r="I419" i="4"/>
  <c r="I424" i="4"/>
  <c r="I438" i="4"/>
  <c r="I445" i="4"/>
  <c r="I453" i="4"/>
  <c r="I461" i="4"/>
  <c r="I474" i="4"/>
  <c r="I486" i="4"/>
  <c r="I492" i="4"/>
  <c r="I496" i="4"/>
  <c r="I504" i="4"/>
  <c r="I526" i="4"/>
  <c r="I534" i="4"/>
  <c r="I552" i="4"/>
  <c r="I562" i="4"/>
  <c r="I573" i="4"/>
  <c r="I577" i="4"/>
  <c r="I582" i="4"/>
  <c r="I588" i="4"/>
  <c r="I596" i="4"/>
  <c r="I601" i="4"/>
  <c r="I631" i="4"/>
  <c r="I647" i="4"/>
  <c r="I663" i="4"/>
  <c r="I681" i="4"/>
  <c r="I702" i="4"/>
  <c r="I708" i="4"/>
  <c r="I723" i="4"/>
  <c r="I734" i="4"/>
  <c r="I745" i="4"/>
  <c r="I756" i="4"/>
  <c r="I765" i="4"/>
  <c r="I808" i="4"/>
  <c r="I833" i="4"/>
  <c r="I842" i="4"/>
  <c r="I848" i="4"/>
  <c r="I858" i="4"/>
  <c r="I870" i="4"/>
  <c r="I932" i="4"/>
  <c r="I943" i="4"/>
  <c r="I950" i="4"/>
  <c r="I370" i="4"/>
  <c r="I484" i="4"/>
  <c r="I462" i="4"/>
  <c r="I475" i="4"/>
  <c r="I485" i="4"/>
  <c r="I488" i="4"/>
  <c r="I489" i="4"/>
  <c r="I508" i="4"/>
  <c r="I553" i="4"/>
  <c r="I555" i="4"/>
  <c r="I563" i="4"/>
  <c r="I574" i="4"/>
  <c r="I583" i="4"/>
  <c r="I589" i="4"/>
  <c r="I597" i="4"/>
  <c r="I602" i="4"/>
  <c r="I622" i="4"/>
  <c r="I632" i="4"/>
  <c r="I648" i="4"/>
  <c r="I656" i="4"/>
  <c r="I664" i="4"/>
  <c r="I672" i="4"/>
  <c r="I682" i="4"/>
  <c r="I686" i="4"/>
  <c r="I693" i="4"/>
  <c r="I695" i="4"/>
  <c r="I703" i="4"/>
  <c r="I710" i="4"/>
  <c r="I714" i="4"/>
  <c r="I724" i="4"/>
  <c r="I735" i="4"/>
  <c r="I746" i="4"/>
  <c r="I757" i="4"/>
  <c r="I766" i="4"/>
  <c r="I769" i="4"/>
  <c r="I810" i="4"/>
  <c r="I813" i="4"/>
  <c r="I816" i="4"/>
  <c r="I819" i="4"/>
  <c r="I822" i="4"/>
  <c r="I825" i="4"/>
  <c r="I828" i="4"/>
  <c r="I843" i="4"/>
  <c r="I881" i="4"/>
  <c r="I887" i="4"/>
  <c r="I896" i="4"/>
  <c r="I905" i="4"/>
  <c r="I910" i="4"/>
  <c r="I955" i="4"/>
  <c r="I959" i="4"/>
  <c r="I966" i="4"/>
  <c r="I970" i="4"/>
  <c r="I979" i="4"/>
  <c r="I987" i="4"/>
  <c r="I995" i="4"/>
  <c r="I1003" i="4"/>
  <c r="I1008" i="4"/>
  <c r="I610" i="4"/>
  <c r="I633" i="4"/>
  <c r="I611" i="4"/>
  <c r="I634" i="4"/>
  <c r="I493" i="4"/>
  <c r="I497" i="4"/>
  <c r="I612" i="4"/>
  <c r="I635" i="4"/>
  <c r="I613" i="4"/>
  <c r="I636" i="4"/>
  <c r="I505" i="4"/>
  <c r="I614" i="4"/>
  <c r="I649" i="4"/>
  <c r="I615" i="4"/>
  <c r="I650" i="4"/>
  <c r="I616" i="4"/>
  <c r="I651" i="4"/>
  <c r="I617" i="4"/>
  <c r="I652" i="4"/>
  <c r="I618" i="4"/>
  <c r="I653" i="4"/>
  <c r="I620" i="4"/>
  <c r="I66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1013" i="4"/>
  <c r="I411" i="4"/>
  <c r="I564" i="4"/>
  <c r="I666" i="4"/>
  <c r="I862" i="4"/>
  <c r="I1011" i="4"/>
  <c r="I1015" i="4"/>
  <c r="I565" i="4"/>
  <c r="I667" i="4"/>
  <c r="I1017" i="4"/>
  <c r="I431" i="4"/>
  <c r="I481" i="4"/>
  <c r="I414" i="4"/>
  <c r="I420" i="4"/>
  <c r="I432" i="4"/>
  <c r="I466" i="4"/>
  <c r="I476" i="4"/>
  <c r="I509" i="4"/>
  <c r="I516" i="4"/>
  <c r="I603" i="4"/>
  <c r="I517" i="4"/>
  <c r="I477" i="4"/>
  <c r="I604" i="4"/>
  <c r="I433" i="4"/>
  <c r="I482" i="4"/>
  <c r="I770" i="4"/>
  <c r="I483" i="4"/>
  <c r="I771" i="4"/>
  <c r="I566" i="4"/>
  <c r="I575" i="4"/>
  <c r="I590" i="4"/>
  <c r="I605" i="4"/>
  <c r="I637" i="4"/>
  <c r="I654" i="4"/>
  <c r="I668" i="4"/>
  <c r="I683" i="4"/>
  <c r="I696" i="4"/>
  <c r="I704" i="4"/>
  <c r="I711" i="4"/>
  <c r="I715" i="4"/>
  <c r="I725" i="4"/>
  <c r="I736" i="4"/>
  <c r="I747" i="4"/>
  <c r="I758" i="4"/>
  <c r="I772" i="4"/>
  <c r="I538" i="4"/>
  <c r="I591" i="4"/>
  <c r="I871" i="4"/>
  <c r="I882" i="4"/>
  <c r="I897" i="4"/>
  <c r="I911" i="4"/>
  <c r="I915" i="4"/>
  <c r="I921" i="4"/>
  <c r="I925" i="4"/>
  <c r="I463" i="4"/>
  <c r="I578" i="4"/>
  <c r="I933" i="4"/>
  <c r="I876" i="4"/>
  <c r="I973" i="4"/>
  <c r="I536" i="4"/>
  <c r="I567" i="4"/>
  <c r="I606" i="4"/>
  <c r="I454" i="4"/>
  <c r="I464" i="4"/>
  <c r="I465" i="4"/>
  <c r="I478" i="4"/>
  <c r="I527" i="4"/>
  <c r="I535" i="4"/>
  <c r="I541" i="4"/>
  <c r="I619" i="4"/>
  <c r="I657" i="4"/>
  <c r="I684" i="4"/>
  <c r="I697" i="4"/>
  <c r="I705" i="4"/>
  <c r="I726" i="4"/>
  <c r="I737" i="4"/>
  <c r="I748" i="4"/>
  <c r="I759" i="4"/>
  <c r="I712" i="4"/>
  <c r="I716" i="4"/>
  <c r="I727" i="4"/>
  <c r="I738" i="4"/>
  <c r="I749" i="4"/>
  <c r="I760" i="4"/>
  <c r="I782" i="4"/>
  <c r="I783" i="4"/>
  <c r="I785" i="4"/>
  <c r="I786" i="4"/>
  <c r="I788" i="4"/>
  <c r="I789" i="4"/>
  <c r="I791" i="4"/>
  <c r="I792" i="4"/>
  <c r="I794" i="4"/>
  <c r="I795" i="4"/>
  <c r="I797" i="4"/>
  <c r="I798" i="4"/>
  <c r="I800" i="4"/>
  <c r="I801" i="4"/>
  <c r="I803" i="4"/>
  <c r="I804" i="4"/>
  <c r="I811" i="4"/>
  <c r="I814" i="4"/>
  <c r="I817" i="4"/>
  <c r="I820" i="4"/>
  <c r="I823" i="4"/>
  <c r="I826" i="4"/>
  <c r="I829" i="4"/>
  <c r="I834" i="4"/>
  <c r="I844" i="4"/>
  <c r="I859" i="4"/>
  <c r="I883" i="4"/>
  <c r="I888" i="4"/>
  <c r="I873" i="4"/>
  <c r="I875" i="4"/>
  <c r="I877" i="4"/>
  <c r="I884" i="4"/>
  <c r="I889" i="4"/>
  <c r="I898" i="4"/>
  <c r="I906" i="4"/>
  <c r="I912" i="4"/>
  <c r="I916" i="4"/>
  <c r="I922" i="4"/>
  <c r="I927" i="4"/>
  <c r="I934" i="4"/>
  <c r="I878" i="4"/>
  <c r="I899" i="4"/>
  <c r="I907" i="4"/>
  <c r="I879" i="4"/>
  <c r="I885" i="4"/>
  <c r="I890" i="4"/>
  <c r="I900" i="4"/>
  <c r="I908" i="4"/>
  <c r="I917" i="4"/>
  <c r="I923" i="4"/>
  <c r="I928" i="4"/>
  <c r="I935" i="4"/>
  <c r="I936" i="4"/>
  <c r="I944" i="4"/>
  <c r="I945" i="4"/>
  <c r="I956" i="4"/>
  <c r="I960" i="4"/>
  <c r="I967" i="4"/>
  <c r="I971" i="4"/>
  <c r="I974" i="4"/>
  <c r="I980" i="4"/>
  <c r="I988" i="4"/>
  <c r="I996" i="4"/>
  <c r="I1004" i="4"/>
  <c r="I1009" i="4"/>
  <c r="I957" i="4"/>
  <c r="I961" i="4"/>
  <c r="I968" i="4"/>
  <c r="I972" i="4"/>
  <c r="I981" i="4"/>
  <c r="I989" i="4"/>
  <c r="I997" i="4"/>
  <c r="I1005" i="4"/>
  <c r="I1010" i="4"/>
  <c r="I982" i="4"/>
  <c r="I990" i="4"/>
  <c r="I998" i="4"/>
  <c r="I1006" i="4"/>
  <c r="I1014" i="4"/>
  <c r="I1018" i="4"/>
  <c r="H49" i="4"/>
  <c r="H849" i="4"/>
  <c r="H865" i="4"/>
  <c r="H154" i="4"/>
  <c r="H186" i="4"/>
  <c r="H607" i="4"/>
  <c r="H623" i="4"/>
  <c r="H344" i="4"/>
  <c r="H809" i="4"/>
  <c r="H812" i="4"/>
  <c r="H815" i="4"/>
  <c r="H818" i="4"/>
  <c r="H821" i="4"/>
  <c r="H824" i="4"/>
  <c r="H827" i="4"/>
  <c r="H835" i="4"/>
  <c r="H850" i="4"/>
  <c r="H187" i="4"/>
  <c r="H624" i="4"/>
  <c r="H345" i="4"/>
  <c r="H441" i="4"/>
  <c r="H188" i="4"/>
  <c r="H494" i="4"/>
  <c r="H498" i="4"/>
  <c r="H520" i="4"/>
  <c r="H521" i="4"/>
  <c r="H528" i="4"/>
  <c r="H529" i="4"/>
  <c r="H625" i="4"/>
  <c r="H346" i="4"/>
  <c r="H1019" i="4"/>
  <c r="H1020" i="4"/>
  <c r="H189" i="4"/>
  <c r="H626" i="4"/>
  <c r="H347" i="4"/>
  <c r="H195" i="4"/>
  <c r="H499" i="4"/>
  <c r="H608" i="4"/>
  <c r="H638" i="4"/>
  <c r="H348" i="4"/>
  <c r="H50" i="4"/>
  <c r="H872" i="4"/>
  <c r="H874" i="4"/>
  <c r="H37" i="4"/>
  <c r="H74" i="4"/>
  <c r="H92" i="4"/>
  <c r="H446" i="4"/>
  <c r="H909" i="4"/>
  <c r="H913" i="4"/>
  <c r="H918" i="4"/>
  <c r="H926" i="4"/>
  <c r="H929" i="4"/>
  <c r="H51" i="4"/>
  <c r="H891" i="4"/>
  <c r="H901" i="4"/>
  <c r="H57" i="4"/>
  <c r="H880" i="4"/>
  <c r="H886" i="4"/>
  <c r="H173" i="4"/>
  <c r="H930" i="4"/>
  <c r="H134" i="4"/>
  <c r="H196" i="4"/>
  <c r="H639" i="4"/>
  <c r="H349" i="4"/>
  <c r="H197" i="4"/>
  <c r="H640" i="4"/>
  <c r="H350" i="4"/>
  <c r="H198" i="4"/>
  <c r="H641" i="4"/>
  <c r="H351" i="4"/>
  <c r="H85" i="4"/>
  <c r="H642" i="4"/>
  <c r="H352" i="4"/>
  <c r="H31" i="4"/>
  <c r="H155" i="4"/>
  <c r="H204" i="4"/>
  <c r="H303" i="4"/>
  <c r="H609" i="4"/>
  <c r="H658" i="4"/>
  <c r="H836" i="4"/>
  <c r="H353" i="4"/>
  <c r="H455" i="4"/>
  <c r="H179" i="4"/>
  <c r="H221" i="4"/>
  <c r="H467" i="4"/>
  <c r="H304" i="4"/>
  <c r="H479" i="4"/>
  <c r="H58" i="4"/>
  <c r="H137" i="4"/>
  <c r="H435" i="4"/>
  <c r="H556" i="4"/>
  <c r="H568" i="4"/>
  <c r="H576" i="4"/>
  <c r="H659" i="4"/>
  <c r="H698" i="4"/>
  <c r="H717" i="4"/>
  <c r="H728" i="4"/>
  <c r="H739" i="4"/>
  <c r="H750" i="4"/>
  <c r="H773" i="4"/>
  <c r="H774" i="4"/>
  <c r="H775" i="4"/>
  <c r="H776" i="4"/>
  <c r="H777" i="4"/>
  <c r="H778" i="4"/>
  <c r="H779" i="4"/>
  <c r="H780" i="4"/>
  <c r="H937" i="4"/>
  <c r="H938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52" i="4"/>
  <c r="H59" i="4"/>
  <c r="H439" i="4"/>
  <c r="H447" i="4"/>
  <c r="H951" i="4"/>
  <c r="H958" i="4"/>
  <c r="H962" i="4"/>
  <c r="H969" i="4"/>
  <c r="H975" i="4"/>
  <c r="H983" i="4"/>
  <c r="H991" i="4"/>
  <c r="H999" i="4"/>
  <c r="H1007" i="4"/>
  <c r="H114" i="4"/>
  <c r="H115" i="4"/>
  <c r="H116" i="4"/>
  <c r="H117" i="4"/>
  <c r="H132" i="4"/>
  <c r="H118" i="4"/>
  <c r="H123" i="4"/>
  <c r="H160" i="4"/>
  <c r="H205" i="4"/>
  <c r="H1012" i="4"/>
  <c r="H1016" i="4"/>
  <c r="H60" i="4"/>
  <c r="H781" i="4"/>
  <c r="H784" i="4"/>
  <c r="H787" i="4"/>
  <c r="H790" i="4"/>
  <c r="H793" i="4"/>
  <c r="H796" i="4"/>
  <c r="H799" i="4"/>
  <c r="H802" i="4"/>
  <c r="H140" i="4"/>
  <c r="H141" i="4"/>
  <c r="H142" i="4"/>
  <c r="H146" i="4"/>
  <c r="H156" i="4"/>
  <c r="H549" i="4"/>
  <c r="H150" i="4"/>
  <c r="H161" i="4"/>
  <c r="H174" i="4"/>
  <c r="H180" i="4"/>
  <c r="H554" i="4"/>
  <c r="H557" i="4"/>
  <c r="H569" i="4"/>
  <c r="H579" i="4"/>
  <c r="H584" i="4"/>
  <c r="H592" i="4"/>
  <c r="H598" i="4"/>
  <c r="H206" i="4"/>
  <c r="H621" i="4"/>
  <c r="H627" i="4"/>
  <c r="H190" i="4"/>
  <c r="H643" i="4"/>
  <c r="H199" i="4"/>
  <c r="H655" i="4"/>
  <c r="H660" i="4"/>
  <c r="H207" i="4"/>
  <c r="H669" i="4"/>
  <c r="H673" i="4"/>
  <c r="H676" i="4"/>
  <c r="H222" i="4"/>
  <c r="H685" i="4"/>
  <c r="H687" i="4"/>
  <c r="H259" i="4"/>
  <c r="H270" i="4"/>
  <c r="H281" i="4"/>
  <c r="H292" i="4"/>
  <c r="H690" i="4"/>
  <c r="H230" i="4"/>
  <c r="H239" i="4"/>
  <c r="H260" i="4"/>
  <c r="H271" i="4"/>
  <c r="H282" i="4"/>
  <c r="H293" i="4"/>
  <c r="H691" i="4"/>
  <c r="H231" i="4"/>
  <c r="H240" i="4"/>
  <c r="H261" i="4"/>
  <c r="H272" i="4"/>
  <c r="H283" i="4"/>
  <c r="H294" i="4"/>
  <c r="H305" i="4"/>
  <c r="H688" i="4"/>
  <c r="H767" i="4"/>
  <c r="H232" i="4"/>
  <c r="H241" i="4"/>
  <c r="H250" i="4"/>
  <c r="H262" i="4"/>
  <c r="H273" i="4"/>
  <c r="H284" i="4"/>
  <c r="H295" i="4"/>
  <c r="H306" i="4"/>
  <c r="H692" i="4"/>
  <c r="H694" i="4"/>
  <c r="H699" i="4"/>
  <c r="H256" i="4"/>
  <c r="H709" i="4"/>
  <c r="H713" i="4"/>
  <c r="H251" i="4"/>
  <c r="H718" i="4"/>
  <c r="H729" i="4"/>
  <c r="H740" i="4"/>
  <c r="H751" i="4"/>
  <c r="H761" i="4"/>
  <c r="H768" i="4"/>
  <c r="H317" i="4"/>
  <c r="H318" i="4"/>
  <c r="H368" i="4"/>
  <c r="H319" i="4"/>
  <c r="H320" i="4"/>
  <c r="H321" i="4"/>
  <c r="H369" i="4"/>
  <c r="H487" i="4"/>
  <c r="H506" i="4"/>
  <c r="H61" i="4"/>
  <c r="H242" i="4"/>
  <c r="H252" i="4"/>
  <c r="H434" i="4"/>
  <c r="H544" i="4"/>
  <c r="H706" i="4"/>
  <c r="H864" i="4"/>
  <c r="H892" i="4"/>
  <c r="H914" i="4"/>
  <c r="H919" i="4"/>
  <c r="H924" i="4"/>
  <c r="H946" i="4"/>
  <c r="H38" i="4"/>
  <c r="H75" i="4"/>
  <c r="H93" i="4"/>
  <c r="H162" i="4"/>
  <c r="H191" i="4"/>
  <c r="H200" i="4"/>
  <c r="H208" i="4"/>
  <c r="H510" i="4"/>
  <c r="H143" i="4"/>
  <c r="H147" i="4"/>
  <c r="H32" i="4"/>
  <c r="H62" i="4"/>
  <c r="H138" i="4"/>
  <c r="H263" i="4"/>
  <c r="H274" i="4"/>
  <c r="H285" i="4"/>
  <c r="H296" i="4"/>
  <c r="H719" i="4"/>
  <c r="H730" i="4"/>
  <c r="H741" i="4"/>
  <c r="H752" i="4"/>
  <c r="H327" i="4"/>
  <c r="H511" i="4"/>
  <c r="H585" i="4"/>
  <c r="H628" i="4"/>
  <c r="H644" i="4"/>
  <c r="H307" i="4"/>
  <c r="H512" i="4"/>
  <c r="H837" i="4"/>
  <c r="H339" i="4"/>
  <c r="H105" i="4"/>
  <c r="H425" i="4"/>
  <c r="H513" i="4"/>
  <c r="H181" i="4"/>
  <c r="H223" i="4"/>
  <c r="H308" i="4"/>
  <c r="H518" i="4"/>
  <c r="H593" i="4"/>
  <c r="H677" i="4"/>
  <c r="H762" i="4"/>
  <c r="H33" i="4"/>
  <c r="H39" i="4"/>
  <c r="H76" i="4"/>
  <c r="H86" i="4"/>
  <c r="H94" i="4"/>
  <c r="H163" i="4"/>
  <c r="H192" i="4"/>
  <c r="H201" i="4"/>
  <c r="H209" i="4"/>
  <c r="H490" i="4"/>
  <c r="H500" i="4"/>
  <c r="H830" i="4"/>
  <c r="H323" i="4"/>
  <c r="H329" i="4"/>
  <c r="H334" i="4"/>
  <c r="H3" i="4"/>
  <c r="H7" i="4"/>
  <c r="H11" i="4"/>
  <c r="H15" i="4"/>
  <c r="H19" i="4"/>
  <c r="H23" i="4"/>
  <c r="H27" i="4"/>
  <c r="H34" i="4"/>
  <c r="H40" i="4"/>
  <c r="H70" i="4"/>
  <c r="H87" i="4"/>
  <c r="H95" i="4"/>
  <c r="H125" i="4"/>
  <c r="H135" i="4"/>
  <c r="H151" i="4"/>
  <c r="H157" i="4"/>
  <c r="H175" i="4"/>
  <c r="H182" i="4"/>
  <c r="H210" i="4"/>
  <c r="H224" i="4"/>
  <c r="H233" i="4"/>
  <c r="H243" i="4"/>
  <c r="H253" i="4"/>
  <c r="H264" i="4"/>
  <c r="H275" i="4"/>
  <c r="H286" i="4"/>
  <c r="H297" i="4"/>
  <c r="H309" i="4"/>
  <c r="H415" i="4"/>
  <c r="H421" i="4"/>
  <c r="H436" i="4"/>
  <c r="H442" i="4"/>
  <c r="H448" i="4"/>
  <c r="H456" i="4"/>
  <c r="H468" i="4"/>
  <c r="H495" i="4"/>
  <c r="H501" i="4"/>
  <c r="H522" i="4"/>
  <c r="H530" i="4"/>
  <c r="H550" i="4"/>
  <c r="H558" i="4"/>
  <c r="H570" i="4"/>
  <c r="H580" i="4"/>
  <c r="H586" i="4"/>
  <c r="H594" i="4"/>
  <c r="H599" i="4"/>
  <c r="H629" i="4"/>
  <c r="H645" i="4"/>
  <c r="H661" i="4"/>
  <c r="H670" i="4"/>
  <c r="H678" i="4"/>
  <c r="H700" i="4"/>
  <c r="H720" i="4"/>
  <c r="H731" i="4"/>
  <c r="H742" i="4"/>
  <c r="H753" i="4"/>
  <c r="H763" i="4"/>
  <c r="H805" i="4"/>
  <c r="H838" i="4"/>
  <c r="H845" i="4"/>
  <c r="H851" i="4"/>
  <c r="H866" i="4"/>
  <c r="H939" i="4"/>
  <c r="H947" i="4"/>
  <c r="H164" i="4"/>
  <c r="H211" i="4"/>
  <c r="H940" i="4"/>
  <c r="H335" i="4"/>
  <c r="H165" i="4"/>
  <c r="H519" i="4"/>
  <c r="H41" i="4"/>
  <c r="H79" i="4"/>
  <c r="H82" i="4"/>
  <c r="H88" i="4"/>
  <c r="H96" i="4"/>
  <c r="H106" i="4"/>
  <c r="H166" i="4"/>
  <c r="H212" i="4"/>
  <c r="H523" i="4"/>
  <c r="H531" i="4"/>
  <c r="H852" i="4"/>
  <c r="H63" i="4"/>
  <c r="H126" i="4"/>
  <c r="H539" i="4"/>
  <c r="H144" i="4"/>
  <c r="H148" i="4"/>
  <c r="H139" i="4"/>
  <c r="H542" i="4"/>
  <c r="H543" i="4"/>
  <c r="H324" i="4"/>
  <c r="H330" i="4"/>
  <c r="H336" i="4"/>
  <c r="H4" i="4"/>
  <c r="H8" i="4"/>
  <c r="H12" i="4"/>
  <c r="H16" i="4"/>
  <c r="H20" i="4"/>
  <c r="H24" i="4"/>
  <c r="H28" i="4"/>
  <c r="H71" i="4"/>
  <c r="H127" i="4"/>
  <c r="H457" i="4"/>
  <c r="H469" i="4"/>
  <c r="H545" i="4"/>
  <c r="H571" i="4"/>
  <c r="H853" i="4"/>
  <c r="H867" i="4"/>
  <c r="H941" i="4"/>
  <c r="H948" i="4"/>
  <c r="H64" i="4"/>
  <c r="H128" i="4"/>
  <c r="H537" i="4"/>
  <c r="H546" i="4"/>
  <c r="H225" i="4"/>
  <c r="H310" i="4"/>
  <c r="H547" i="4"/>
  <c r="H145" i="4"/>
  <c r="H149" i="4"/>
  <c r="H548" i="4"/>
  <c r="H322" i="4"/>
  <c r="H107" i="4"/>
  <c r="H234" i="4"/>
  <c r="H244" i="4"/>
  <c r="H265" i="4"/>
  <c r="H276" i="4"/>
  <c r="H287" i="4"/>
  <c r="H298" i="4"/>
  <c r="H311" i="4"/>
  <c r="H507" i="4"/>
  <c r="H331" i="4"/>
  <c r="H340" i="4"/>
  <c r="H42" i="4"/>
  <c r="H341" i="4"/>
  <c r="H119" i="4"/>
  <c r="H133" i="4"/>
  <c r="H167" i="4"/>
  <c r="H213" i="4"/>
  <c r="H470" i="4"/>
  <c r="H514" i="4"/>
  <c r="H559" i="4"/>
  <c r="H600" i="4"/>
  <c r="H679" i="4"/>
  <c r="H860" i="4"/>
  <c r="H861" i="4"/>
  <c r="H316" i="4"/>
  <c r="H328" i="4"/>
  <c r="H337" i="4"/>
  <c r="H342" i="4"/>
  <c r="H863" i="4"/>
  <c r="H97" i="4"/>
  <c r="H176" i="4"/>
  <c r="H226" i="4"/>
  <c r="H416" i="4"/>
  <c r="H422" i="4"/>
  <c r="H443" i="4"/>
  <c r="H806" i="4"/>
  <c r="H846" i="4"/>
  <c r="H412" i="4"/>
  <c r="H426" i="4"/>
  <c r="H868" i="4"/>
  <c r="H65" i="4"/>
  <c r="H168" i="4"/>
  <c r="H214" i="4"/>
  <c r="H43" i="4"/>
  <c r="H77" i="4"/>
  <c r="H98" i="4"/>
  <c r="H169" i="4"/>
  <c r="H215" i="4"/>
  <c r="H152" i="4"/>
  <c r="H158" i="4"/>
  <c r="H170" i="4"/>
  <c r="H177" i="4"/>
  <c r="H183" i="4"/>
  <c r="H193" i="4"/>
  <c r="H202" i="4"/>
  <c r="H216" i="4"/>
  <c r="H227" i="4"/>
  <c r="H235" i="4"/>
  <c r="H245" i="4"/>
  <c r="H254" i="4"/>
  <c r="H257" i="4"/>
  <c r="H266" i="4"/>
  <c r="H277" i="4"/>
  <c r="H288" i="4"/>
  <c r="H299" i="4"/>
  <c r="H312" i="4"/>
  <c r="H108" i="4"/>
  <c r="H113" i="4"/>
  <c r="H129" i="4"/>
  <c r="H427" i="4"/>
  <c r="H236" i="4"/>
  <c r="H246" i="4"/>
  <c r="H267" i="4"/>
  <c r="H278" i="4"/>
  <c r="H289" i="4"/>
  <c r="H300" i="4"/>
  <c r="H313" i="4"/>
  <c r="H480" i="4"/>
  <c r="H2" i="4"/>
  <c r="H237" i="4"/>
  <c r="H247" i="4"/>
  <c r="H268" i="4"/>
  <c r="H279" i="4"/>
  <c r="H290" i="4"/>
  <c r="H301" i="4"/>
  <c r="H314" i="4"/>
  <c r="H674" i="4"/>
  <c r="H721" i="4"/>
  <c r="H732" i="4"/>
  <c r="H743" i="4"/>
  <c r="H754" i="4"/>
  <c r="H66" i="4"/>
  <c r="H109" i="4"/>
  <c r="H428" i="4"/>
  <c r="H413" i="4"/>
  <c r="H417" i="4"/>
  <c r="H429" i="4"/>
  <c r="H449" i="4"/>
  <c r="H675" i="4"/>
  <c r="H689" i="4"/>
  <c r="H67" i="4"/>
  <c r="H110" i="4"/>
  <c r="H120" i="4"/>
  <c r="H130" i="4"/>
  <c r="H430" i="4"/>
  <c r="H450" i="4"/>
  <c r="H515" i="4"/>
  <c r="H540" i="4"/>
  <c r="H184" i="4"/>
  <c r="H228" i="4"/>
  <c r="H471" i="4"/>
  <c r="H325" i="4"/>
  <c r="H332" i="4"/>
  <c r="H5" i="4"/>
  <c r="H9" i="4"/>
  <c r="H13" i="4"/>
  <c r="H17" i="4"/>
  <c r="H21" i="4"/>
  <c r="H25" i="4"/>
  <c r="H29" i="4"/>
  <c r="H72" i="4"/>
  <c r="H99" i="4"/>
  <c r="H451" i="4"/>
  <c r="H472" i="4"/>
  <c r="H35" i="4"/>
  <c r="H217" i="4"/>
  <c r="H326" i="4"/>
  <c r="H333" i="4"/>
  <c r="H338" i="4"/>
  <c r="H6" i="4"/>
  <c r="H10" i="4"/>
  <c r="H14" i="4"/>
  <c r="H18" i="4"/>
  <c r="H22" i="4"/>
  <c r="H26" i="4"/>
  <c r="H30" i="4"/>
  <c r="H36" i="4"/>
  <c r="H44" i="4"/>
  <c r="H73" i="4"/>
  <c r="H89" i="4"/>
  <c r="H100" i="4"/>
  <c r="H131" i="4"/>
  <c r="H136" i="4"/>
  <c r="H153" i="4"/>
  <c r="H159" i="4"/>
  <c r="H178" i="4"/>
  <c r="H185" i="4"/>
  <c r="H218" i="4"/>
  <c r="H229" i="4"/>
  <c r="H238" i="4"/>
  <c r="H248" i="4"/>
  <c r="H255" i="4"/>
  <c r="H269" i="4"/>
  <c r="H280" i="4"/>
  <c r="H291" i="4"/>
  <c r="H302" i="4"/>
  <c r="H315" i="4"/>
  <c r="H80" i="4"/>
  <c r="H83" i="4"/>
  <c r="H90" i="4"/>
  <c r="H343" i="4"/>
  <c r="H171" i="4"/>
  <c r="H45" i="4"/>
  <c r="H101" i="4"/>
  <c r="H111" i="4"/>
  <c r="H418" i="4"/>
  <c r="H423" i="4"/>
  <c r="H437" i="4"/>
  <c r="H444" i="4"/>
  <c r="H452" i="4"/>
  <c r="H458" i="4"/>
  <c r="H473" i="4"/>
  <c r="H502" i="4"/>
  <c r="H524" i="4"/>
  <c r="H532" i="4"/>
  <c r="H551" i="4"/>
  <c r="H560" i="4"/>
  <c r="H572" i="4"/>
  <c r="H581" i="4"/>
  <c r="H587" i="4"/>
  <c r="H595" i="4"/>
  <c r="H630" i="4"/>
  <c r="H646" i="4"/>
  <c r="H662" i="4"/>
  <c r="H671" i="4"/>
  <c r="H680" i="4"/>
  <c r="H701" i="4"/>
  <c r="H707" i="4"/>
  <c r="H722" i="4"/>
  <c r="H733" i="4"/>
  <c r="H744" i="4"/>
  <c r="H755" i="4"/>
  <c r="H764" i="4"/>
  <c r="H807" i="4"/>
  <c r="H831" i="4"/>
  <c r="H839" i="4"/>
  <c r="H847" i="4"/>
  <c r="H854" i="4"/>
  <c r="H869" i="4"/>
  <c r="H893" i="4"/>
  <c r="H902" i="4"/>
  <c r="H942" i="4"/>
  <c r="H949" i="4"/>
  <c r="H952" i="4"/>
  <c r="H963" i="4"/>
  <c r="H976" i="4"/>
  <c r="H984" i="4"/>
  <c r="H992" i="4"/>
  <c r="H1000" i="4"/>
  <c r="H46" i="4"/>
  <c r="H102" i="4"/>
  <c r="H194" i="4"/>
  <c r="H203" i="4"/>
  <c r="H219" i="4"/>
  <c r="H459" i="4"/>
  <c r="H491" i="4"/>
  <c r="H503" i="4"/>
  <c r="H561" i="4"/>
  <c r="H832" i="4"/>
  <c r="H840" i="4"/>
  <c r="H841" i="4"/>
  <c r="H855" i="4"/>
  <c r="H931" i="4"/>
  <c r="H47" i="4"/>
  <c r="H81" i="4"/>
  <c r="H84" i="4"/>
  <c r="H91" i="4"/>
  <c r="H103" i="4"/>
  <c r="H112" i="4"/>
  <c r="H172" i="4"/>
  <c r="H220" i="4"/>
  <c r="H460" i="4"/>
  <c r="H525" i="4"/>
  <c r="H533" i="4"/>
  <c r="H856" i="4"/>
  <c r="H857" i="4"/>
  <c r="H53" i="4"/>
  <c r="H440" i="4"/>
  <c r="H48" i="4"/>
  <c r="H78" i="4"/>
  <c r="H104" i="4"/>
  <c r="H54" i="4"/>
  <c r="H121" i="4"/>
  <c r="H124" i="4"/>
  <c r="H68" i="4"/>
  <c r="H122" i="4"/>
  <c r="H55" i="4"/>
  <c r="H249" i="4"/>
  <c r="H258" i="4"/>
  <c r="H920" i="4"/>
  <c r="H56" i="4"/>
  <c r="H69" i="4"/>
  <c r="H894" i="4"/>
  <c r="H903" i="4"/>
  <c r="H953" i="4"/>
  <c r="H964" i="4"/>
  <c r="H977" i="4"/>
  <c r="H985" i="4"/>
  <c r="H993" i="4"/>
  <c r="H1001" i="4"/>
  <c r="H895" i="4"/>
  <c r="H904" i="4"/>
  <c r="H954" i="4"/>
  <c r="H965" i="4"/>
  <c r="H978" i="4"/>
  <c r="H986" i="4"/>
  <c r="H994" i="4"/>
  <c r="H1002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71" i="4"/>
  <c r="H419" i="4"/>
  <c r="H424" i="4"/>
  <c r="H438" i="4"/>
  <c r="H445" i="4"/>
  <c r="H453" i="4"/>
  <c r="H461" i="4"/>
  <c r="H474" i="4"/>
  <c r="H486" i="4"/>
  <c r="H492" i="4"/>
  <c r="H496" i="4"/>
  <c r="H504" i="4"/>
  <c r="H526" i="4"/>
  <c r="H534" i="4"/>
  <c r="H552" i="4"/>
  <c r="H562" i="4"/>
  <c r="H573" i="4"/>
  <c r="H577" i="4"/>
  <c r="H582" i="4"/>
  <c r="H588" i="4"/>
  <c r="H596" i="4"/>
  <c r="H601" i="4"/>
  <c r="H631" i="4"/>
  <c r="H647" i="4"/>
  <c r="H663" i="4"/>
  <c r="H681" i="4"/>
  <c r="H702" i="4"/>
  <c r="H708" i="4"/>
  <c r="H723" i="4"/>
  <c r="H734" i="4"/>
  <c r="H745" i="4"/>
  <c r="H756" i="4"/>
  <c r="H765" i="4"/>
  <c r="H808" i="4"/>
  <c r="H833" i="4"/>
  <c r="H842" i="4"/>
  <c r="H848" i="4"/>
  <c r="H858" i="4"/>
  <c r="H870" i="4"/>
  <c r="H932" i="4"/>
  <c r="H943" i="4"/>
  <c r="H950" i="4"/>
  <c r="H370" i="4"/>
  <c r="H484" i="4"/>
  <c r="H462" i="4"/>
  <c r="H475" i="4"/>
  <c r="H485" i="4"/>
  <c r="H488" i="4"/>
  <c r="H489" i="4"/>
  <c r="H508" i="4"/>
  <c r="H553" i="4"/>
  <c r="H555" i="4"/>
  <c r="H563" i="4"/>
  <c r="H574" i="4"/>
  <c r="H583" i="4"/>
  <c r="H589" i="4"/>
  <c r="H597" i="4"/>
  <c r="H602" i="4"/>
  <c r="H622" i="4"/>
  <c r="H632" i="4"/>
  <c r="H648" i="4"/>
  <c r="H656" i="4"/>
  <c r="H664" i="4"/>
  <c r="H672" i="4"/>
  <c r="H682" i="4"/>
  <c r="H686" i="4"/>
  <c r="H693" i="4"/>
  <c r="H695" i="4"/>
  <c r="H703" i="4"/>
  <c r="H710" i="4"/>
  <c r="H714" i="4"/>
  <c r="H724" i="4"/>
  <c r="H735" i="4"/>
  <c r="H746" i="4"/>
  <c r="H757" i="4"/>
  <c r="H766" i="4"/>
  <c r="H769" i="4"/>
  <c r="H810" i="4"/>
  <c r="H813" i="4"/>
  <c r="H816" i="4"/>
  <c r="H819" i="4"/>
  <c r="H822" i="4"/>
  <c r="H825" i="4"/>
  <c r="H828" i="4"/>
  <c r="H843" i="4"/>
  <c r="H881" i="4"/>
  <c r="H887" i="4"/>
  <c r="H896" i="4"/>
  <c r="H905" i="4"/>
  <c r="H910" i="4"/>
  <c r="H955" i="4"/>
  <c r="H959" i="4"/>
  <c r="H966" i="4"/>
  <c r="H970" i="4"/>
  <c r="H979" i="4"/>
  <c r="H987" i="4"/>
  <c r="H995" i="4"/>
  <c r="H1003" i="4"/>
  <c r="H1008" i="4"/>
  <c r="H610" i="4"/>
  <c r="H633" i="4"/>
  <c r="H611" i="4"/>
  <c r="H634" i="4"/>
  <c r="H493" i="4"/>
  <c r="H497" i="4"/>
  <c r="H612" i="4"/>
  <c r="H635" i="4"/>
  <c r="H613" i="4"/>
  <c r="H636" i="4"/>
  <c r="H505" i="4"/>
  <c r="H614" i="4"/>
  <c r="H649" i="4"/>
  <c r="H615" i="4"/>
  <c r="H650" i="4"/>
  <c r="H616" i="4"/>
  <c r="H651" i="4"/>
  <c r="H617" i="4"/>
  <c r="H652" i="4"/>
  <c r="H618" i="4"/>
  <c r="H653" i="4"/>
  <c r="H620" i="4"/>
  <c r="H66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1013" i="4"/>
  <c r="H411" i="4"/>
  <c r="H564" i="4"/>
  <c r="H666" i="4"/>
  <c r="H862" i="4"/>
  <c r="H1011" i="4"/>
  <c r="H1015" i="4"/>
  <c r="H565" i="4"/>
  <c r="H667" i="4"/>
  <c r="H1017" i="4"/>
  <c r="H431" i="4"/>
  <c r="H481" i="4"/>
  <c r="H414" i="4"/>
  <c r="H420" i="4"/>
  <c r="H432" i="4"/>
  <c r="H466" i="4"/>
  <c r="H476" i="4"/>
  <c r="H509" i="4"/>
  <c r="H516" i="4"/>
  <c r="H603" i="4"/>
  <c r="H517" i="4"/>
  <c r="H477" i="4"/>
  <c r="H604" i="4"/>
  <c r="H433" i="4"/>
  <c r="H482" i="4"/>
  <c r="H770" i="4"/>
  <c r="H483" i="4"/>
  <c r="H771" i="4"/>
  <c r="H566" i="4"/>
  <c r="H575" i="4"/>
  <c r="H590" i="4"/>
  <c r="H605" i="4"/>
  <c r="H637" i="4"/>
  <c r="H654" i="4"/>
  <c r="H668" i="4"/>
  <c r="H683" i="4"/>
  <c r="H696" i="4"/>
  <c r="H704" i="4"/>
  <c r="H711" i="4"/>
  <c r="H715" i="4"/>
  <c r="H725" i="4"/>
  <c r="H736" i="4"/>
  <c r="H747" i="4"/>
  <c r="H758" i="4"/>
  <c r="H772" i="4"/>
  <c r="H538" i="4"/>
  <c r="H591" i="4"/>
  <c r="H871" i="4"/>
  <c r="H882" i="4"/>
  <c r="H897" i="4"/>
  <c r="H911" i="4"/>
  <c r="H915" i="4"/>
  <c r="H921" i="4"/>
  <c r="H925" i="4"/>
  <c r="H463" i="4"/>
  <c r="H578" i="4"/>
  <c r="H933" i="4"/>
  <c r="H876" i="4"/>
  <c r="H973" i="4"/>
  <c r="H536" i="4"/>
  <c r="H567" i="4"/>
  <c r="H606" i="4"/>
  <c r="H454" i="4"/>
  <c r="H464" i="4"/>
  <c r="H465" i="4"/>
  <c r="H478" i="4"/>
  <c r="H527" i="4"/>
  <c r="H535" i="4"/>
  <c r="H541" i="4"/>
  <c r="H619" i="4"/>
  <c r="H657" i="4"/>
  <c r="H684" i="4"/>
  <c r="H697" i="4"/>
  <c r="H705" i="4"/>
  <c r="H726" i="4"/>
  <c r="H737" i="4"/>
  <c r="H748" i="4"/>
  <c r="H759" i="4"/>
  <c r="H712" i="4"/>
  <c r="H716" i="4"/>
  <c r="H727" i="4"/>
  <c r="H738" i="4"/>
  <c r="H749" i="4"/>
  <c r="H760" i="4"/>
  <c r="H782" i="4"/>
  <c r="H783" i="4"/>
  <c r="H785" i="4"/>
  <c r="H786" i="4"/>
  <c r="H788" i="4"/>
  <c r="H789" i="4"/>
  <c r="H791" i="4"/>
  <c r="H792" i="4"/>
  <c r="H794" i="4"/>
  <c r="H795" i="4"/>
  <c r="H797" i="4"/>
  <c r="H798" i="4"/>
  <c r="H800" i="4"/>
  <c r="H801" i="4"/>
  <c r="H803" i="4"/>
  <c r="H804" i="4"/>
  <c r="H811" i="4"/>
  <c r="H814" i="4"/>
  <c r="H817" i="4"/>
  <c r="H820" i="4"/>
  <c r="H823" i="4"/>
  <c r="H826" i="4"/>
  <c r="H829" i="4"/>
  <c r="H834" i="4"/>
  <c r="H844" i="4"/>
  <c r="H859" i="4"/>
  <c r="H883" i="4"/>
  <c r="H888" i="4"/>
  <c r="H873" i="4"/>
  <c r="H875" i="4"/>
  <c r="H877" i="4"/>
  <c r="H884" i="4"/>
  <c r="H889" i="4"/>
  <c r="H898" i="4"/>
  <c r="H906" i="4"/>
  <c r="H912" i="4"/>
  <c r="H916" i="4"/>
  <c r="H922" i="4"/>
  <c r="H927" i="4"/>
  <c r="H934" i="4"/>
  <c r="H878" i="4"/>
  <c r="H899" i="4"/>
  <c r="H907" i="4"/>
  <c r="H879" i="4"/>
  <c r="H885" i="4"/>
  <c r="H890" i="4"/>
  <c r="H900" i="4"/>
  <c r="H908" i="4"/>
  <c r="H917" i="4"/>
  <c r="H923" i="4"/>
  <c r="H928" i="4"/>
  <c r="H935" i="4"/>
  <c r="H936" i="4"/>
  <c r="H944" i="4"/>
  <c r="H945" i="4"/>
  <c r="H956" i="4"/>
  <c r="H960" i="4"/>
  <c r="H967" i="4"/>
  <c r="H971" i="4"/>
  <c r="H974" i="4"/>
  <c r="H980" i="4"/>
  <c r="H988" i="4"/>
  <c r="H996" i="4"/>
  <c r="H1004" i="4"/>
  <c r="H1009" i="4"/>
  <c r="H957" i="4"/>
  <c r="H961" i="4"/>
  <c r="H968" i="4"/>
  <c r="H972" i="4"/>
  <c r="H981" i="4"/>
  <c r="H989" i="4"/>
  <c r="H997" i="4"/>
  <c r="H1005" i="4"/>
  <c r="H1010" i="4"/>
  <c r="H982" i="4"/>
  <c r="H990" i="4"/>
  <c r="H998" i="4"/>
  <c r="H1006" i="4"/>
  <c r="H1014" i="4"/>
  <c r="H1018" i="4"/>
  <c r="G49" i="4"/>
  <c r="G849" i="4"/>
  <c r="G865" i="4"/>
  <c r="G154" i="4"/>
  <c r="G186" i="4"/>
  <c r="G607" i="4"/>
  <c r="G623" i="4"/>
  <c r="G344" i="4"/>
  <c r="G809" i="4"/>
  <c r="G812" i="4"/>
  <c r="G815" i="4"/>
  <c r="G818" i="4"/>
  <c r="G821" i="4"/>
  <c r="G824" i="4"/>
  <c r="G827" i="4"/>
  <c r="G835" i="4"/>
  <c r="G850" i="4"/>
  <c r="G187" i="4"/>
  <c r="G624" i="4"/>
  <c r="G345" i="4"/>
  <c r="G441" i="4"/>
  <c r="G188" i="4"/>
  <c r="G494" i="4"/>
  <c r="G498" i="4"/>
  <c r="G520" i="4"/>
  <c r="G521" i="4"/>
  <c r="G528" i="4"/>
  <c r="G529" i="4"/>
  <c r="G625" i="4"/>
  <c r="G346" i="4"/>
  <c r="G1019" i="4"/>
  <c r="G1020" i="4"/>
  <c r="G189" i="4"/>
  <c r="G626" i="4"/>
  <c r="G347" i="4"/>
  <c r="G195" i="4"/>
  <c r="G499" i="4"/>
  <c r="G608" i="4"/>
  <c r="G638" i="4"/>
  <c r="G348" i="4"/>
  <c r="G50" i="4"/>
  <c r="G872" i="4"/>
  <c r="G874" i="4"/>
  <c r="G37" i="4"/>
  <c r="G74" i="4"/>
  <c r="G92" i="4"/>
  <c r="G446" i="4"/>
  <c r="G909" i="4"/>
  <c r="G913" i="4"/>
  <c r="G918" i="4"/>
  <c r="G926" i="4"/>
  <c r="G929" i="4"/>
  <c r="G51" i="4"/>
  <c r="G891" i="4"/>
  <c r="G901" i="4"/>
  <c r="G57" i="4"/>
  <c r="G880" i="4"/>
  <c r="G886" i="4"/>
  <c r="G173" i="4"/>
  <c r="G930" i="4"/>
  <c r="G134" i="4"/>
  <c r="G196" i="4"/>
  <c r="G639" i="4"/>
  <c r="G349" i="4"/>
  <c r="G197" i="4"/>
  <c r="G640" i="4"/>
  <c r="G350" i="4"/>
  <c r="G198" i="4"/>
  <c r="G641" i="4"/>
  <c r="G351" i="4"/>
  <c r="G85" i="4"/>
  <c r="G642" i="4"/>
  <c r="G352" i="4"/>
  <c r="G31" i="4"/>
  <c r="G155" i="4"/>
  <c r="G204" i="4"/>
  <c r="G303" i="4"/>
  <c r="G609" i="4"/>
  <c r="G658" i="4"/>
  <c r="G836" i="4"/>
  <c r="G353" i="4"/>
  <c r="G455" i="4"/>
  <c r="G179" i="4"/>
  <c r="G221" i="4"/>
  <c r="G467" i="4"/>
  <c r="G304" i="4"/>
  <c r="G479" i="4"/>
  <c r="G58" i="4"/>
  <c r="G137" i="4"/>
  <c r="G435" i="4"/>
  <c r="G556" i="4"/>
  <c r="G568" i="4"/>
  <c r="G576" i="4"/>
  <c r="G659" i="4"/>
  <c r="G698" i="4"/>
  <c r="G717" i="4"/>
  <c r="G728" i="4"/>
  <c r="G739" i="4"/>
  <c r="G750" i="4"/>
  <c r="G773" i="4"/>
  <c r="G774" i="4"/>
  <c r="G775" i="4"/>
  <c r="G776" i="4"/>
  <c r="G777" i="4"/>
  <c r="G778" i="4"/>
  <c r="G779" i="4"/>
  <c r="G780" i="4"/>
  <c r="G937" i="4"/>
  <c r="G938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52" i="4"/>
  <c r="G59" i="4"/>
  <c r="G439" i="4"/>
  <c r="G447" i="4"/>
  <c r="G951" i="4"/>
  <c r="G958" i="4"/>
  <c r="G962" i="4"/>
  <c r="G969" i="4"/>
  <c r="G975" i="4"/>
  <c r="G983" i="4"/>
  <c r="G991" i="4"/>
  <c r="G999" i="4"/>
  <c r="G1007" i="4"/>
  <c r="G114" i="4"/>
  <c r="G115" i="4"/>
  <c r="G116" i="4"/>
  <c r="G117" i="4"/>
  <c r="G132" i="4"/>
  <c r="G118" i="4"/>
  <c r="G123" i="4"/>
  <c r="G160" i="4"/>
  <c r="G205" i="4"/>
  <c r="G1012" i="4"/>
  <c r="G1016" i="4"/>
  <c r="G60" i="4"/>
  <c r="G781" i="4"/>
  <c r="G784" i="4"/>
  <c r="G787" i="4"/>
  <c r="G790" i="4"/>
  <c r="G793" i="4"/>
  <c r="G796" i="4"/>
  <c r="G799" i="4"/>
  <c r="G802" i="4"/>
  <c r="G140" i="4"/>
  <c r="G141" i="4"/>
  <c r="G142" i="4"/>
  <c r="G146" i="4"/>
  <c r="G156" i="4"/>
  <c r="G549" i="4"/>
  <c r="G150" i="4"/>
  <c r="G161" i="4"/>
  <c r="G174" i="4"/>
  <c r="G180" i="4"/>
  <c r="G554" i="4"/>
  <c r="G557" i="4"/>
  <c r="G569" i="4"/>
  <c r="G579" i="4"/>
  <c r="G584" i="4"/>
  <c r="G592" i="4"/>
  <c r="G598" i="4"/>
  <c r="G206" i="4"/>
  <c r="G621" i="4"/>
  <c r="G627" i="4"/>
  <c r="G190" i="4"/>
  <c r="G643" i="4"/>
  <c r="G199" i="4"/>
  <c r="G655" i="4"/>
  <c r="G660" i="4"/>
  <c r="G207" i="4"/>
  <c r="G669" i="4"/>
  <c r="G673" i="4"/>
  <c r="G676" i="4"/>
  <c r="G222" i="4"/>
  <c r="G685" i="4"/>
  <c r="G687" i="4"/>
  <c r="G259" i="4"/>
  <c r="G270" i="4"/>
  <c r="G281" i="4"/>
  <c r="G292" i="4"/>
  <c r="G690" i="4"/>
  <c r="G230" i="4"/>
  <c r="G239" i="4"/>
  <c r="G260" i="4"/>
  <c r="G271" i="4"/>
  <c r="G282" i="4"/>
  <c r="G293" i="4"/>
  <c r="G691" i="4"/>
  <c r="G231" i="4"/>
  <c r="G240" i="4"/>
  <c r="G261" i="4"/>
  <c r="G272" i="4"/>
  <c r="G283" i="4"/>
  <c r="G294" i="4"/>
  <c r="G305" i="4"/>
  <c r="G688" i="4"/>
  <c r="G767" i="4"/>
  <c r="G232" i="4"/>
  <c r="G241" i="4"/>
  <c r="G250" i="4"/>
  <c r="G262" i="4"/>
  <c r="G273" i="4"/>
  <c r="G284" i="4"/>
  <c r="G295" i="4"/>
  <c r="G306" i="4"/>
  <c r="G692" i="4"/>
  <c r="G694" i="4"/>
  <c r="G699" i="4"/>
  <c r="G256" i="4"/>
  <c r="G709" i="4"/>
  <c r="G713" i="4"/>
  <c r="G251" i="4"/>
  <c r="G718" i="4"/>
  <c r="G729" i="4"/>
  <c r="G740" i="4"/>
  <c r="G751" i="4"/>
  <c r="G761" i="4"/>
  <c r="G768" i="4"/>
  <c r="G317" i="4"/>
  <c r="G318" i="4"/>
  <c r="G368" i="4"/>
  <c r="G319" i="4"/>
  <c r="G320" i="4"/>
  <c r="G321" i="4"/>
  <c r="G369" i="4"/>
  <c r="G487" i="4"/>
  <c r="G506" i="4"/>
  <c r="G61" i="4"/>
  <c r="G242" i="4"/>
  <c r="G252" i="4"/>
  <c r="G434" i="4"/>
  <c r="G544" i="4"/>
  <c r="G706" i="4"/>
  <c r="G864" i="4"/>
  <c r="G892" i="4"/>
  <c r="G914" i="4"/>
  <c r="G919" i="4"/>
  <c r="G924" i="4"/>
  <c r="G946" i="4"/>
  <c r="G38" i="4"/>
  <c r="G75" i="4"/>
  <c r="G93" i="4"/>
  <c r="G162" i="4"/>
  <c r="G191" i="4"/>
  <c r="G200" i="4"/>
  <c r="G208" i="4"/>
  <c r="G510" i="4"/>
  <c r="G143" i="4"/>
  <c r="G147" i="4"/>
  <c r="G32" i="4"/>
  <c r="G62" i="4"/>
  <c r="G138" i="4"/>
  <c r="G263" i="4"/>
  <c r="G274" i="4"/>
  <c r="G285" i="4"/>
  <c r="G296" i="4"/>
  <c r="G719" i="4"/>
  <c r="G730" i="4"/>
  <c r="G741" i="4"/>
  <c r="G752" i="4"/>
  <c r="G327" i="4"/>
  <c r="G511" i="4"/>
  <c r="G585" i="4"/>
  <c r="G628" i="4"/>
  <c r="G644" i="4"/>
  <c r="G307" i="4"/>
  <c r="G512" i="4"/>
  <c r="G837" i="4"/>
  <c r="G339" i="4"/>
  <c r="G105" i="4"/>
  <c r="G425" i="4"/>
  <c r="G513" i="4"/>
  <c r="G181" i="4"/>
  <c r="G223" i="4"/>
  <c r="G308" i="4"/>
  <c r="G518" i="4"/>
  <c r="G593" i="4"/>
  <c r="G677" i="4"/>
  <c r="G762" i="4"/>
  <c r="G33" i="4"/>
  <c r="G39" i="4"/>
  <c r="G76" i="4"/>
  <c r="G86" i="4"/>
  <c r="G94" i="4"/>
  <c r="G163" i="4"/>
  <c r="G192" i="4"/>
  <c r="G201" i="4"/>
  <c r="G209" i="4"/>
  <c r="G490" i="4"/>
  <c r="G500" i="4"/>
  <c r="G830" i="4"/>
  <c r="G323" i="4"/>
  <c r="G329" i="4"/>
  <c r="G334" i="4"/>
  <c r="G3" i="4"/>
  <c r="G7" i="4"/>
  <c r="G11" i="4"/>
  <c r="G15" i="4"/>
  <c r="G19" i="4"/>
  <c r="G23" i="4"/>
  <c r="G27" i="4"/>
  <c r="G34" i="4"/>
  <c r="G40" i="4"/>
  <c r="G70" i="4"/>
  <c r="G87" i="4"/>
  <c r="G95" i="4"/>
  <c r="G125" i="4"/>
  <c r="G135" i="4"/>
  <c r="G151" i="4"/>
  <c r="G157" i="4"/>
  <c r="G175" i="4"/>
  <c r="G182" i="4"/>
  <c r="G210" i="4"/>
  <c r="G224" i="4"/>
  <c r="G233" i="4"/>
  <c r="G243" i="4"/>
  <c r="G253" i="4"/>
  <c r="G264" i="4"/>
  <c r="G275" i="4"/>
  <c r="G286" i="4"/>
  <c r="G297" i="4"/>
  <c r="G309" i="4"/>
  <c r="G415" i="4"/>
  <c r="G421" i="4"/>
  <c r="G436" i="4"/>
  <c r="G442" i="4"/>
  <c r="G448" i="4"/>
  <c r="G456" i="4"/>
  <c r="G468" i="4"/>
  <c r="G495" i="4"/>
  <c r="G501" i="4"/>
  <c r="G522" i="4"/>
  <c r="G530" i="4"/>
  <c r="G550" i="4"/>
  <c r="G558" i="4"/>
  <c r="G570" i="4"/>
  <c r="G580" i="4"/>
  <c r="G586" i="4"/>
  <c r="G594" i="4"/>
  <c r="G599" i="4"/>
  <c r="G629" i="4"/>
  <c r="G645" i="4"/>
  <c r="G661" i="4"/>
  <c r="G670" i="4"/>
  <c r="G678" i="4"/>
  <c r="G700" i="4"/>
  <c r="G720" i="4"/>
  <c r="G731" i="4"/>
  <c r="G742" i="4"/>
  <c r="G753" i="4"/>
  <c r="G763" i="4"/>
  <c r="G805" i="4"/>
  <c r="G838" i="4"/>
  <c r="G845" i="4"/>
  <c r="G851" i="4"/>
  <c r="G866" i="4"/>
  <c r="G939" i="4"/>
  <c r="G947" i="4"/>
  <c r="G164" i="4"/>
  <c r="G211" i="4"/>
  <c r="G940" i="4"/>
  <c r="G335" i="4"/>
  <c r="G165" i="4"/>
  <c r="G519" i="4"/>
  <c r="G41" i="4"/>
  <c r="G79" i="4"/>
  <c r="G82" i="4"/>
  <c r="G88" i="4"/>
  <c r="G96" i="4"/>
  <c r="G106" i="4"/>
  <c r="G166" i="4"/>
  <c r="G212" i="4"/>
  <c r="G523" i="4"/>
  <c r="G531" i="4"/>
  <c r="G852" i="4"/>
  <c r="G63" i="4"/>
  <c r="G126" i="4"/>
  <c r="G539" i="4"/>
  <c r="G144" i="4"/>
  <c r="G148" i="4"/>
  <c r="G139" i="4"/>
  <c r="G542" i="4"/>
  <c r="G543" i="4"/>
  <c r="G324" i="4"/>
  <c r="G330" i="4"/>
  <c r="G336" i="4"/>
  <c r="G4" i="4"/>
  <c r="G8" i="4"/>
  <c r="G12" i="4"/>
  <c r="G16" i="4"/>
  <c r="G20" i="4"/>
  <c r="G24" i="4"/>
  <c r="G28" i="4"/>
  <c r="G71" i="4"/>
  <c r="G127" i="4"/>
  <c r="G457" i="4"/>
  <c r="G469" i="4"/>
  <c r="G545" i="4"/>
  <c r="G571" i="4"/>
  <c r="G853" i="4"/>
  <c r="G867" i="4"/>
  <c r="G941" i="4"/>
  <c r="G948" i="4"/>
  <c r="G64" i="4"/>
  <c r="G128" i="4"/>
  <c r="G537" i="4"/>
  <c r="G546" i="4"/>
  <c r="G225" i="4"/>
  <c r="G310" i="4"/>
  <c r="G547" i="4"/>
  <c r="G145" i="4"/>
  <c r="G149" i="4"/>
  <c r="G548" i="4"/>
  <c r="G322" i="4"/>
  <c r="G107" i="4"/>
  <c r="G234" i="4"/>
  <c r="G244" i="4"/>
  <c r="G265" i="4"/>
  <c r="G276" i="4"/>
  <c r="G287" i="4"/>
  <c r="G298" i="4"/>
  <c r="G311" i="4"/>
  <c r="G507" i="4"/>
  <c r="G331" i="4"/>
  <c r="G340" i="4"/>
  <c r="G42" i="4"/>
  <c r="G341" i="4"/>
  <c r="G119" i="4"/>
  <c r="G133" i="4"/>
  <c r="G167" i="4"/>
  <c r="G213" i="4"/>
  <c r="G470" i="4"/>
  <c r="G514" i="4"/>
  <c r="G559" i="4"/>
  <c r="G600" i="4"/>
  <c r="G679" i="4"/>
  <c r="G860" i="4"/>
  <c r="G861" i="4"/>
  <c r="G316" i="4"/>
  <c r="G328" i="4"/>
  <c r="G337" i="4"/>
  <c r="G342" i="4"/>
  <c r="G863" i="4"/>
  <c r="G97" i="4"/>
  <c r="G176" i="4"/>
  <c r="G226" i="4"/>
  <c r="G416" i="4"/>
  <c r="G422" i="4"/>
  <c r="G443" i="4"/>
  <c r="G806" i="4"/>
  <c r="G846" i="4"/>
  <c r="G412" i="4"/>
  <c r="G426" i="4"/>
  <c r="G868" i="4"/>
  <c r="G65" i="4"/>
  <c r="G168" i="4"/>
  <c r="G214" i="4"/>
  <c r="G43" i="4"/>
  <c r="G77" i="4"/>
  <c r="G98" i="4"/>
  <c r="G169" i="4"/>
  <c r="G215" i="4"/>
  <c r="G152" i="4"/>
  <c r="G158" i="4"/>
  <c r="G170" i="4"/>
  <c r="G177" i="4"/>
  <c r="G183" i="4"/>
  <c r="G193" i="4"/>
  <c r="G202" i="4"/>
  <c r="G216" i="4"/>
  <c r="G227" i="4"/>
  <c r="G235" i="4"/>
  <c r="G245" i="4"/>
  <c r="G254" i="4"/>
  <c r="G257" i="4"/>
  <c r="G266" i="4"/>
  <c r="G277" i="4"/>
  <c r="G288" i="4"/>
  <c r="G299" i="4"/>
  <c r="G312" i="4"/>
  <c r="G108" i="4"/>
  <c r="G113" i="4"/>
  <c r="G129" i="4"/>
  <c r="G427" i="4"/>
  <c r="G236" i="4"/>
  <c r="G246" i="4"/>
  <c r="G267" i="4"/>
  <c r="G278" i="4"/>
  <c r="G289" i="4"/>
  <c r="G300" i="4"/>
  <c r="G313" i="4"/>
  <c r="G480" i="4"/>
  <c r="G2" i="4"/>
  <c r="G237" i="4"/>
  <c r="G247" i="4"/>
  <c r="G268" i="4"/>
  <c r="G279" i="4"/>
  <c r="G290" i="4"/>
  <c r="G301" i="4"/>
  <c r="G314" i="4"/>
  <c r="G674" i="4"/>
  <c r="G721" i="4"/>
  <c r="G732" i="4"/>
  <c r="G743" i="4"/>
  <c r="G754" i="4"/>
  <c r="G66" i="4"/>
  <c r="G109" i="4"/>
  <c r="G428" i="4"/>
  <c r="G413" i="4"/>
  <c r="G417" i="4"/>
  <c r="G429" i="4"/>
  <c r="G449" i="4"/>
  <c r="G675" i="4"/>
  <c r="G689" i="4"/>
  <c r="G67" i="4"/>
  <c r="G110" i="4"/>
  <c r="G120" i="4"/>
  <c r="G130" i="4"/>
  <c r="G430" i="4"/>
  <c r="G450" i="4"/>
  <c r="G515" i="4"/>
  <c r="G540" i="4"/>
  <c r="G184" i="4"/>
  <c r="G228" i="4"/>
  <c r="G471" i="4"/>
  <c r="G325" i="4"/>
  <c r="G332" i="4"/>
  <c r="G5" i="4"/>
  <c r="G9" i="4"/>
  <c r="G13" i="4"/>
  <c r="G17" i="4"/>
  <c r="G21" i="4"/>
  <c r="G25" i="4"/>
  <c r="G29" i="4"/>
  <c r="G72" i="4"/>
  <c r="G99" i="4"/>
  <c r="G451" i="4"/>
  <c r="G472" i="4"/>
  <c r="G35" i="4"/>
  <c r="G217" i="4"/>
  <c r="G326" i="4"/>
  <c r="G333" i="4"/>
  <c r="G338" i="4"/>
  <c r="G6" i="4"/>
  <c r="G10" i="4"/>
  <c r="G14" i="4"/>
  <c r="G18" i="4"/>
  <c r="G22" i="4"/>
  <c r="G26" i="4"/>
  <c r="G30" i="4"/>
  <c r="G36" i="4"/>
  <c r="G44" i="4"/>
  <c r="G73" i="4"/>
  <c r="G89" i="4"/>
  <c r="G100" i="4"/>
  <c r="G131" i="4"/>
  <c r="G136" i="4"/>
  <c r="G153" i="4"/>
  <c r="G159" i="4"/>
  <c r="G178" i="4"/>
  <c r="G185" i="4"/>
  <c r="G218" i="4"/>
  <c r="G229" i="4"/>
  <c r="G238" i="4"/>
  <c r="G248" i="4"/>
  <c r="G255" i="4"/>
  <c r="G269" i="4"/>
  <c r="G280" i="4"/>
  <c r="G291" i="4"/>
  <c r="G302" i="4"/>
  <c r="G315" i="4"/>
  <c r="G80" i="4"/>
  <c r="G83" i="4"/>
  <c r="G90" i="4"/>
  <c r="G343" i="4"/>
  <c r="G171" i="4"/>
  <c r="G45" i="4"/>
  <c r="G101" i="4"/>
  <c r="G111" i="4"/>
  <c r="G418" i="4"/>
  <c r="G423" i="4"/>
  <c r="G437" i="4"/>
  <c r="G444" i="4"/>
  <c r="G452" i="4"/>
  <c r="G458" i="4"/>
  <c r="G473" i="4"/>
  <c r="G502" i="4"/>
  <c r="G524" i="4"/>
  <c r="G532" i="4"/>
  <c r="G551" i="4"/>
  <c r="G560" i="4"/>
  <c r="G572" i="4"/>
  <c r="G581" i="4"/>
  <c r="G587" i="4"/>
  <c r="G595" i="4"/>
  <c r="G630" i="4"/>
  <c r="G646" i="4"/>
  <c r="G662" i="4"/>
  <c r="G671" i="4"/>
  <c r="G680" i="4"/>
  <c r="G701" i="4"/>
  <c r="G707" i="4"/>
  <c r="G722" i="4"/>
  <c r="G733" i="4"/>
  <c r="G744" i="4"/>
  <c r="G755" i="4"/>
  <c r="G764" i="4"/>
  <c r="G807" i="4"/>
  <c r="G831" i="4"/>
  <c r="G839" i="4"/>
  <c r="G847" i="4"/>
  <c r="G854" i="4"/>
  <c r="G869" i="4"/>
  <c r="G893" i="4"/>
  <c r="G902" i="4"/>
  <c r="G942" i="4"/>
  <c r="G949" i="4"/>
  <c r="G952" i="4"/>
  <c r="G963" i="4"/>
  <c r="G976" i="4"/>
  <c r="G984" i="4"/>
  <c r="G992" i="4"/>
  <c r="G1000" i="4"/>
  <c r="G46" i="4"/>
  <c r="G102" i="4"/>
  <c r="G194" i="4"/>
  <c r="G203" i="4"/>
  <c r="G219" i="4"/>
  <c r="G459" i="4"/>
  <c r="G491" i="4"/>
  <c r="G503" i="4"/>
  <c r="G561" i="4"/>
  <c r="G832" i="4"/>
  <c r="G840" i="4"/>
  <c r="G841" i="4"/>
  <c r="G855" i="4"/>
  <c r="G931" i="4"/>
  <c r="G47" i="4"/>
  <c r="G81" i="4"/>
  <c r="G84" i="4"/>
  <c r="G91" i="4"/>
  <c r="G103" i="4"/>
  <c r="G112" i="4"/>
  <c r="G172" i="4"/>
  <c r="G220" i="4"/>
  <c r="G460" i="4"/>
  <c r="G525" i="4"/>
  <c r="G533" i="4"/>
  <c r="G856" i="4"/>
  <c r="G857" i="4"/>
  <c r="G53" i="4"/>
  <c r="G440" i="4"/>
  <c r="G48" i="4"/>
  <c r="G78" i="4"/>
  <c r="G104" i="4"/>
  <c r="G54" i="4"/>
  <c r="G121" i="4"/>
  <c r="G124" i="4"/>
  <c r="G68" i="4"/>
  <c r="G122" i="4"/>
  <c r="G55" i="4"/>
  <c r="G249" i="4"/>
  <c r="G258" i="4"/>
  <c r="G920" i="4"/>
  <c r="G56" i="4"/>
  <c r="G69" i="4"/>
  <c r="G894" i="4"/>
  <c r="G903" i="4"/>
  <c r="G953" i="4"/>
  <c r="G964" i="4"/>
  <c r="G977" i="4"/>
  <c r="G985" i="4"/>
  <c r="G993" i="4"/>
  <c r="G1001" i="4"/>
  <c r="G895" i="4"/>
  <c r="G904" i="4"/>
  <c r="G954" i="4"/>
  <c r="G965" i="4"/>
  <c r="G978" i="4"/>
  <c r="G986" i="4"/>
  <c r="G994" i="4"/>
  <c r="G1002" i="4"/>
  <c r="G372" i="4"/>
  <c r="G373" i="4"/>
  <c r="G374" i="4"/>
  <c r="G375" i="4"/>
  <c r="G376" i="4"/>
  <c r="G377" i="4"/>
  <c r="G378" i="4"/>
  <c r="G379" i="4"/>
  <c r="G380" i="4"/>
  <c r="G381" i="4"/>
  <c r="G382" i="4"/>
  <c r="G383" i="4"/>
  <c r="G384" i="4"/>
  <c r="G385" i="4"/>
  <c r="G386" i="4"/>
  <c r="G387" i="4"/>
  <c r="G388" i="4"/>
  <c r="G389" i="4"/>
  <c r="G390" i="4"/>
  <c r="G391" i="4"/>
  <c r="G392" i="4"/>
  <c r="G393" i="4"/>
  <c r="G394" i="4"/>
  <c r="G395" i="4"/>
  <c r="G371" i="4"/>
  <c r="G419" i="4"/>
  <c r="G424" i="4"/>
  <c r="G438" i="4"/>
  <c r="G445" i="4"/>
  <c r="G453" i="4"/>
  <c r="G461" i="4"/>
  <c r="G474" i="4"/>
  <c r="G486" i="4"/>
  <c r="G492" i="4"/>
  <c r="G496" i="4"/>
  <c r="G504" i="4"/>
  <c r="G526" i="4"/>
  <c r="G534" i="4"/>
  <c r="G552" i="4"/>
  <c r="G562" i="4"/>
  <c r="G573" i="4"/>
  <c r="G577" i="4"/>
  <c r="G582" i="4"/>
  <c r="G588" i="4"/>
  <c r="G596" i="4"/>
  <c r="G601" i="4"/>
  <c r="G631" i="4"/>
  <c r="G647" i="4"/>
  <c r="G663" i="4"/>
  <c r="G681" i="4"/>
  <c r="G702" i="4"/>
  <c r="G708" i="4"/>
  <c r="G723" i="4"/>
  <c r="G734" i="4"/>
  <c r="G745" i="4"/>
  <c r="G756" i="4"/>
  <c r="G765" i="4"/>
  <c r="G808" i="4"/>
  <c r="G833" i="4"/>
  <c r="G842" i="4"/>
  <c r="G848" i="4"/>
  <c r="G858" i="4"/>
  <c r="G870" i="4"/>
  <c r="G932" i="4"/>
  <c r="G943" i="4"/>
  <c r="G950" i="4"/>
  <c r="G370" i="4"/>
  <c r="G484" i="4"/>
  <c r="G462" i="4"/>
  <c r="G475" i="4"/>
  <c r="G485" i="4"/>
  <c r="G488" i="4"/>
  <c r="G489" i="4"/>
  <c r="G508" i="4"/>
  <c r="G553" i="4"/>
  <c r="G555" i="4"/>
  <c r="G563" i="4"/>
  <c r="G574" i="4"/>
  <c r="G583" i="4"/>
  <c r="G589" i="4"/>
  <c r="G597" i="4"/>
  <c r="G602" i="4"/>
  <c r="G622" i="4"/>
  <c r="G632" i="4"/>
  <c r="G648" i="4"/>
  <c r="G656" i="4"/>
  <c r="G664" i="4"/>
  <c r="G672" i="4"/>
  <c r="G682" i="4"/>
  <c r="G686" i="4"/>
  <c r="G693" i="4"/>
  <c r="G695" i="4"/>
  <c r="G703" i="4"/>
  <c r="G710" i="4"/>
  <c r="G714" i="4"/>
  <c r="G724" i="4"/>
  <c r="G735" i="4"/>
  <c r="G746" i="4"/>
  <c r="G757" i="4"/>
  <c r="G766" i="4"/>
  <c r="G769" i="4"/>
  <c r="G810" i="4"/>
  <c r="G813" i="4"/>
  <c r="G816" i="4"/>
  <c r="G819" i="4"/>
  <c r="G822" i="4"/>
  <c r="G825" i="4"/>
  <c r="G828" i="4"/>
  <c r="G843" i="4"/>
  <c r="G881" i="4"/>
  <c r="G887" i="4"/>
  <c r="G896" i="4"/>
  <c r="G905" i="4"/>
  <c r="G910" i="4"/>
  <c r="G955" i="4"/>
  <c r="G959" i="4"/>
  <c r="G966" i="4"/>
  <c r="G970" i="4"/>
  <c r="G979" i="4"/>
  <c r="G987" i="4"/>
  <c r="G995" i="4"/>
  <c r="G1003" i="4"/>
  <c r="G1008" i="4"/>
  <c r="G610" i="4"/>
  <c r="G633" i="4"/>
  <c r="G611" i="4"/>
  <c r="G634" i="4"/>
  <c r="G493" i="4"/>
  <c r="G497" i="4"/>
  <c r="G612" i="4"/>
  <c r="G635" i="4"/>
  <c r="G613" i="4"/>
  <c r="G636" i="4"/>
  <c r="G505" i="4"/>
  <c r="G614" i="4"/>
  <c r="G649" i="4"/>
  <c r="G615" i="4"/>
  <c r="G650" i="4"/>
  <c r="G616" i="4"/>
  <c r="G651" i="4"/>
  <c r="G617" i="4"/>
  <c r="G652" i="4"/>
  <c r="G618" i="4"/>
  <c r="G653" i="4"/>
  <c r="G620" i="4"/>
  <c r="G665" i="4"/>
  <c r="G396" i="4"/>
  <c r="G397" i="4"/>
  <c r="G398" i="4"/>
  <c r="G399" i="4"/>
  <c r="G400" i="4"/>
  <c r="G401" i="4"/>
  <c r="G402" i="4"/>
  <c r="G403" i="4"/>
  <c r="G404" i="4"/>
  <c r="G405" i="4"/>
  <c r="G406" i="4"/>
  <c r="G407" i="4"/>
  <c r="G408" i="4"/>
  <c r="G409" i="4"/>
  <c r="G410" i="4"/>
  <c r="G1013" i="4"/>
  <c r="G411" i="4"/>
  <c r="G564" i="4"/>
  <c r="G666" i="4"/>
  <c r="G862" i="4"/>
  <c r="G1011" i="4"/>
  <c r="G1015" i="4"/>
  <c r="G565" i="4"/>
  <c r="G667" i="4"/>
  <c r="G1017" i="4"/>
  <c r="G431" i="4"/>
  <c r="G481" i="4"/>
  <c r="G414" i="4"/>
  <c r="G420" i="4"/>
  <c r="G432" i="4"/>
  <c r="G466" i="4"/>
  <c r="G476" i="4"/>
  <c r="G509" i="4"/>
  <c r="G516" i="4"/>
  <c r="G603" i="4"/>
  <c r="G517" i="4"/>
  <c r="G477" i="4"/>
  <c r="G604" i="4"/>
  <c r="G433" i="4"/>
  <c r="G482" i="4"/>
  <c r="G770" i="4"/>
  <c r="G483" i="4"/>
  <c r="G771" i="4"/>
  <c r="G566" i="4"/>
  <c r="G575" i="4"/>
  <c r="G590" i="4"/>
  <c r="G605" i="4"/>
  <c r="G637" i="4"/>
  <c r="G654" i="4"/>
  <c r="G668" i="4"/>
  <c r="G683" i="4"/>
  <c r="G696" i="4"/>
  <c r="G704" i="4"/>
  <c r="G711" i="4"/>
  <c r="G715" i="4"/>
  <c r="G725" i="4"/>
  <c r="G736" i="4"/>
  <c r="G747" i="4"/>
  <c r="G758" i="4"/>
  <c r="G772" i="4"/>
  <c r="G538" i="4"/>
  <c r="G591" i="4"/>
  <c r="G871" i="4"/>
  <c r="G882" i="4"/>
  <c r="G897" i="4"/>
  <c r="G911" i="4"/>
  <c r="G915" i="4"/>
  <c r="G921" i="4"/>
  <c r="G925" i="4"/>
  <c r="G463" i="4"/>
  <c r="G578" i="4"/>
  <c r="G933" i="4"/>
  <c r="G876" i="4"/>
  <c r="G973" i="4"/>
  <c r="G536" i="4"/>
  <c r="G567" i="4"/>
  <c r="G606" i="4"/>
  <c r="G454" i="4"/>
  <c r="G464" i="4"/>
  <c r="G465" i="4"/>
  <c r="G478" i="4"/>
  <c r="G527" i="4"/>
  <c r="G535" i="4"/>
  <c r="G541" i="4"/>
  <c r="G619" i="4"/>
  <c r="G657" i="4"/>
  <c r="G684" i="4"/>
  <c r="G697" i="4"/>
  <c r="G705" i="4"/>
  <c r="G726" i="4"/>
  <c r="G737" i="4"/>
  <c r="G748" i="4"/>
  <c r="G759" i="4"/>
  <c r="G712" i="4"/>
  <c r="G716" i="4"/>
  <c r="G727" i="4"/>
  <c r="G738" i="4"/>
  <c r="G749" i="4"/>
  <c r="G760" i="4"/>
  <c r="G782" i="4"/>
  <c r="G783" i="4"/>
  <c r="G785" i="4"/>
  <c r="G786" i="4"/>
  <c r="G788" i="4"/>
  <c r="G789" i="4"/>
  <c r="G791" i="4"/>
  <c r="G792" i="4"/>
  <c r="G794" i="4"/>
  <c r="G795" i="4"/>
  <c r="G797" i="4"/>
  <c r="G798" i="4"/>
  <c r="G800" i="4"/>
  <c r="G801" i="4"/>
  <c r="G803" i="4"/>
  <c r="G804" i="4"/>
  <c r="G811" i="4"/>
  <c r="G814" i="4"/>
  <c r="G817" i="4"/>
  <c r="G820" i="4"/>
  <c r="G823" i="4"/>
  <c r="G826" i="4"/>
  <c r="G829" i="4"/>
  <c r="G834" i="4"/>
  <c r="G844" i="4"/>
  <c r="G859" i="4"/>
  <c r="G883" i="4"/>
  <c r="G888" i="4"/>
  <c r="G873" i="4"/>
  <c r="G875" i="4"/>
  <c r="G877" i="4"/>
  <c r="G884" i="4"/>
  <c r="G889" i="4"/>
  <c r="G898" i="4"/>
  <c r="G906" i="4"/>
  <c r="G912" i="4"/>
  <c r="G916" i="4"/>
  <c r="G922" i="4"/>
  <c r="G927" i="4"/>
  <c r="G934" i="4"/>
  <c r="G878" i="4"/>
  <c r="G899" i="4"/>
  <c r="G907" i="4"/>
  <c r="G879" i="4"/>
  <c r="G885" i="4"/>
  <c r="G890" i="4"/>
  <c r="G900" i="4"/>
  <c r="G908" i="4"/>
  <c r="G917" i="4"/>
  <c r="G923" i="4"/>
  <c r="G928" i="4"/>
  <c r="G935" i="4"/>
  <c r="G936" i="4"/>
  <c r="G944" i="4"/>
  <c r="G945" i="4"/>
  <c r="G956" i="4"/>
  <c r="G960" i="4"/>
  <c r="G967" i="4"/>
  <c r="G971" i="4"/>
  <c r="G974" i="4"/>
  <c r="G980" i="4"/>
  <c r="G988" i="4"/>
  <c r="G996" i="4"/>
  <c r="G1004" i="4"/>
  <c r="G1009" i="4"/>
  <c r="G957" i="4"/>
  <c r="G961" i="4"/>
  <c r="G968" i="4"/>
  <c r="G972" i="4"/>
  <c r="G981" i="4"/>
  <c r="G989" i="4"/>
  <c r="G997" i="4"/>
  <c r="G1005" i="4"/>
  <c r="G1010" i="4"/>
  <c r="G982" i="4"/>
  <c r="G990" i="4"/>
  <c r="G998" i="4"/>
  <c r="G1006" i="4"/>
  <c r="G1014" i="4"/>
  <c r="G1018" i="4"/>
  <c r="F49" i="4"/>
  <c r="F849" i="4"/>
  <c r="F865" i="4"/>
  <c r="F154" i="4"/>
  <c r="F186" i="4"/>
  <c r="F607" i="4"/>
  <c r="F623" i="4"/>
  <c r="F344" i="4"/>
  <c r="F809" i="4"/>
  <c r="F812" i="4"/>
  <c r="F815" i="4"/>
  <c r="F818" i="4"/>
  <c r="F821" i="4"/>
  <c r="F824" i="4"/>
  <c r="F827" i="4"/>
  <c r="F835" i="4"/>
  <c r="F850" i="4"/>
  <c r="F187" i="4"/>
  <c r="F624" i="4"/>
  <c r="F345" i="4"/>
  <c r="F441" i="4"/>
  <c r="F188" i="4"/>
  <c r="F494" i="4"/>
  <c r="F498" i="4"/>
  <c r="F520" i="4"/>
  <c r="F521" i="4"/>
  <c r="F528" i="4"/>
  <c r="F529" i="4"/>
  <c r="F625" i="4"/>
  <c r="F346" i="4"/>
  <c r="F1019" i="4"/>
  <c r="F1020" i="4"/>
  <c r="F189" i="4"/>
  <c r="F626" i="4"/>
  <c r="F347" i="4"/>
  <c r="F195" i="4"/>
  <c r="F499" i="4"/>
  <c r="F608" i="4"/>
  <c r="F638" i="4"/>
  <c r="F348" i="4"/>
  <c r="F50" i="4"/>
  <c r="F872" i="4"/>
  <c r="F874" i="4"/>
  <c r="F37" i="4"/>
  <c r="F74" i="4"/>
  <c r="F92" i="4"/>
  <c r="F446" i="4"/>
  <c r="F909" i="4"/>
  <c r="F913" i="4"/>
  <c r="F918" i="4"/>
  <c r="F926" i="4"/>
  <c r="F929" i="4"/>
  <c r="F51" i="4"/>
  <c r="F891" i="4"/>
  <c r="F901" i="4"/>
  <c r="F57" i="4"/>
  <c r="F880" i="4"/>
  <c r="F886" i="4"/>
  <c r="F173" i="4"/>
  <c r="F930" i="4"/>
  <c r="F134" i="4"/>
  <c r="F196" i="4"/>
  <c r="F639" i="4"/>
  <c r="F349" i="4"/>
  <c r="F197" i="4"/>
  <c r="F640" i="4"/>
  <c r="F350" i="4"/>
  <c r="F198" i="4"/>
  <c r="F641" i="4"/>
  <c r="F351" i="4"/>
  <c r="F85" i="4"/>
  <c r="F642" i="4"/>
  <c r="F352" i="4"/>
  <c r="F31" i="4"/>
  <c r="F155" i="4"/>
  <c r="F204" i="4"/>
  <c r="F303" i="4"/>
  <c r="F609" i="4"/>
  <c r="F658" i="4"/>
  <c r="F836" i="4"/>
  <c r="F353" i="4"/>
  <c r="F455" i="4"/>
  <c r="F179" i="4"/>
  <c r="F221" i="4"/>
  <c r="F467" i="4"/>
  <c r="F304" i="4"/>
  <c r="F479" i="4"/>
  <c r="F58" i="4"/>
  <c r="F137" i="4"/>
  <c r="F435" i="4"/>
  <c r="F556" i="4"/>
  <c r="F568" i="4"/>
  <c r="F576" i="4"/>
  <c r="F659" i="4"/>
  <c r="F698" i="4"/>
  <c r="F717" i="4"/>
  <c r="F728" i="4"/>
  <c r="F739" i="4"/>
  <c r="F750" i="4"/>
  <c r="F773" i="4"/>
  <c r="F774" i="4"/>
  <c r="F775" i="4"/>
  <c r="F776" i="4"/>
  <c r="F777" i="4"/>
  <c r="F778" i="4"/>
  <c r="F779" i="4"/>
  <c r="F780" i="4"/>
  <c r="F937" i="4"/>
  <c r="F938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52" i="4"/>
  <c r="F59" i="4"/>
  <c r="F439" i="4"/>
  <c r="F447" i="4"/>
  <c r="F951" i="4"/>
  <c r="F958" i="4"/>
  <c r="F962" i="4"/>
  <c r="F969" i="4"/>
  <c r="F975" i="4"/>
  <c r="F983" i="4"/>
  <c r="F991" i="4"/>
  <c r="F999" i="4"/>
  <c r="F1007" i="4"/>
  <c r="F114" i="4"/>
  <c r="F115" i="4"/>
  <c r="F116" i="4"/>
  <c r="F117" i="4"/>
  <c r="F132" i="4"/>
  <c r="F118" i="4"/>
  <c r="F123" i="4"/>
  <c r="F160" i="4"/>
  <c r="F205" i="4"/>
  <c r="F1012" i="4"/>
  <c r="F1016" i="4"/>
  <c r="F60" i="4"/>
  <c r="F781" i="4"/>
  <c r="F784" i="4"/>
  <c r="F787" i="4"/>
  <c r="F790" i="4"/>
  <c r="F793" i="4"/>
  <c r="F796" i="4"/>
  <c r="F799" i="4"/>
  <c r="F802" i="4"/>
  <c r="F140" i="4"/>
  <c r="F141" i="4"/>
  <c r="F142" i="4"/>
  <c r="F146" i="4"/>
  <c r="F156" i="4"/>
  <c r="F549" i="4"/>
  <c r="F150" i="4"/>
  <c r="F161" i="4"/>
  <c r="F174" i="4"/>
  <c r="F180" i="4"/>
  <c r="F554" i="4"/>
  <c r="F557" i="4"/>
  <c r="F569" i="4"/>
  <c r="F579" i="4"/>
  <c r="F584" i="4"/>
  <c r="F592" i="4"/>
  <c r="F598" i="4"/>
  <c r="F206" i="4"/>
  <c r="F621" i="4"/>
  <c r="F627" i="4"/>
  <c r="F190" i="4"/>
  <c r="F643" i="4"/>
  <c r="F199" i="4"/>
  <c r="F655" i="4"/>
  <c r="F660" i="4"/>
  <c r="F207" i="4"/>
  <c r="F669" i="4"/>
  <c r="F673" i="4"/>
  <c r="F676" i="4"/>
  <c r="F222" i="4"/>
  <c r="F685" i="4"/>
  <c r="F687" i="4"/>
  <c r="F259" i="4"/>
  <c r="F270" i="4"/>
  <c r="F281" i="4"/>
  <c r="F292" i="4"/>
  <c r="F690" i="4"/>
  <c r="F230" i="4"/>
  <c r="F239" i="4"/>
  <c r="F260" i="4"/>
  <c r="F271" i="4"/>
  <c r="F282" i="4"/>
  <c r="F293" i="4"/>
  <c r="F691" i="4"/>
  <c r="F231" i="4"/>
  <c r="F240" i="4"/>
  <c r="F261" i="4"/>
  <c r="F272" i="4"/>
  <c r="F283" i="4"/>
  <c r="F294" i="4"/>
  <c r="F305" i="4"/>
  <c r="F688" i="4"/>
  <c r="F767" i="4"/>
  <c r="F232" i="4"/>
  <c r="F241" i="4"/>
  <c r="F250" i="4"/>
  <c r="F262" i="4"/>
  <c r="F273" i="4"/>
  <c r="F284" i="4"/>
  <c r="F295" i="4"/>
  <c r="F306" i="4"/>
  <c r="F692" i="4"/>
  <c r="F694" i="4"/>
  <c r="F699" i="4"/>
  <c r="F256" i="4"/>
  <c r="F709" i="4"/>
  <c r="F713" i="4"/>
  <c r="F251" i="4"/>
  <c r="F718" i="4"/>
  <c r="F729" i="4"/>
  <c r="F740" i="4"/>
  <c r="F751" i="4"/>
  <c r="F761" i="4"/>
  <c r="F768" i="4"/>
  <c r="F317" i="4"/>
  <c r="F318" i="4"/>
  <c r="F368" i="4"/>
  <c r="F319" i="4"/>
  <c r="F320" i="4"/>
  <c r="F321" i="4"/>
  <c r="F369" i="4"/>
  <c r="F487" i="4"/>
  <c r="F506" i="4"/>
  <c r="F61" i="4"/>
  <c r="F242" i="4"/>
  <c r="F252" i="4"/>
  <c r="F434" i="4"/>
  <c r="F544" i="4"/>
  <c r="F706" i="4"/>
  <c r="F864" i="4"/>
  <c r="F892" i="4"/>
  <c r="F914" i="4"/>
  <c r="F919" i="4"/>
  <c r="F924" i="4"/>
  <c r="F946" i="4"/>
  <c r="F38" i="4"/>
  <c r="F75" i="4"/>
  <c r="F93" i="4"/>
  <c r="F162" i="4"/>
  <c r="F191" i="4"/>
  <c r="F200" i="4"/>
  <c r="F208" i="4"/>
  <c r="F510" i="4"/>
  <c r="F143" i="4"/>
  <c r="F147" i="4"/>
  <c r="F32" i="4"/>
  <c r="F62" i="4"/>
  <c r="F138" i="4"/>
  <c r="F263" i="4"/>
  <c r="F274" i="4"/>
  <c r="F285" i="4"/>
  <c r="F296" i="4"/>
  <c r="F719" i="4"/>
  <c r="F730" i="4"/>
  <c r="F741" i="4"/>
  <c r="F752" i="4"/>
  <c r="F327" i="4"/>
  <c r="F511" i="4"/>
  <c r="F585" i="4"/>
  <c r="F628" i="4"/>
  <c r="F644" i="4"/>
  <c r="F307" i="4"/>
  <c r="F512" i="4"/>
  <c r="F837" i="4"/>
  <c r="F339" i="4"/>
  <c r="F105" i="4"/>
  <c r="F425" i="4"/>
  <c r="F513" i="4"/>
  <c r="F181" i="4"/>
  <c r="F223" i="4"/>
  <c r="F308" i="4"/>
  <c r="F518" i="4"/>
  <c r="F593" i="4"/>
  <c r="F677" i="4"/>
  <c r="F762" i="4"/>
  <c r="F33" i="4"/>
  <c r="F39" i="4"/>
  <c r="F76" i="4"/>
  <c r="F86" i="4"/>
  <c r="F94" i="4"/>
  <c r="F163" i="4"/>
  <c r="F192" i="4"/>
  <c r="F201" i="4"/>
  <c r="F209" i="4"/>
  <c r="F490" i="4"/>
  <c r="F500" i="4"/>
  <c r="F830" i="4"/>
  <c r="F323" i="4"/>
  <c r="F329" i="4"/>
  <c r="F334" i="4"/>
  <c r="F3" i="4"/>
  <c r="F7" i="4"/>
  <c r="F11" i="4"/>
  <c r="F15" i="4"/>
  <c r="F19" i="4"/>
  <c r="F23" i="4"/>
  <c r="F27" i="4"/>
  <c r="F34" i="4"/>
  <c r="F40" i="4"/>
  <c r="F70" i="4"/>
  <c r="F87" i="4"/>
  <c r="F95" i="4"/>
  <c r="F125" i="4"/>
  <c r="F135" i="4"/>
  <c r="F151" i="4"/>
  <c r="F157" i="4"/>
  <c r="F175" i="4"/>
  <c r="F182" i="4"/>
  <c r="F210" i="4"/>
  <c r="F224" i="4"/>
  <c r="F233" i="4"/>
  <c r="F243" i="4"/>
  <c r="F253" i="4"/>
  <c r="F264" i="4"/>
  <c r="F275" i="4"/>
  <c r="F286" i="4"/>
  <c r="F297" i="4"/>
  <c r="F309" i="4"/>
  <c r="F415" i="4"/>
  <c r="F421" i="4"/>
  <c r="F436" i="4"/>
  <c r="F442" i="4"/>
  <c r="F448" i="4"/>
  <c r="F456" i="4"/>
  <c r="F468" i="4"/>
  <c r="F495" i="4"/>
  <c r="F501" i="4"/>
  <c r="F522" i="4"/>
  <c r="F530" i="4"/>
  <c r="F550" i="4"/>
  <c r="F558" i="4"/>
  <c r="F570" i="4"/>
  <c r="F580" i="4"/>
  <c r="F586" i="4"/>
  <c r="F594" i="4"/>
  <c r="F599" i="4"/>
  <c r="F629" i="4"/>
  <c r="F645" i="4"/>
  <c r="F661" i="4"/>
  <c r="F670" i="4"/>
  <c r="F678" i="4"/>
  <c r="F700" i="4"/>
  <c r="F720" i="4"/>
  <c r="F731" i="4"/>
  <c r="F742" i="4"/>
  <c r="F753" i="4"/>
  <c r="F763" i="4"/>
  <c r="F805" i="4"/>
  <c r="F838" i="4"/>
  <c r="F845" i="4"/>
  <c r="F851" i="4"/>
  <c r="F866" i="4"/>
  <c r="F939" i="4"/>
  <c r="F947" i="4"/>
  <c r="F164" i="4"/>
  <c r="F211" i="4"/>
  <c r="F940" i="4"/>
  <c r="F335" i="4"/>
  <c r="F165" i="4"/>
  <c r="F519" i="4"/>
  <c r="F41" i="4"/>
  <c r="F79" i="4"/>
  <c r="F82" i="4"/>
  <c r="F88" i="4"/>
  <c r="F96" i="4"/>
  <c r="F106" i="4"/>
  <c r="F166" i="4"/>
  <c r="F212" i="4"/>
  <c r="F523" i="4"/>
  <c r="F531" i="4"/>
  <c r="F852" i="4"/>
  <c r="F63" i="4"/>
  <c r="F126" i="4"/>
  <c r="F539" i="4"/>
  <c r="F144" i="4"/>
  <c r="F148" i="4"/>
  <c r="F139" i="4"/>
  <c r="F542" i="4"/>
  <c r="F543" i="4"/>
  <c r="F324" i="4"/>
  <c r="F330" i="4"/>
  <c r="F336" i="4"/>
  <c r="F4" i="4"/>
  <c r="F8" i="4"/>
  <c r="F12" i="4"/>
  <c r="F16" i="4"/>
  <c r="F20" i="4"/>
  <c r="F24" i="4"/>
  <c r="F28" i="4"/>
  <c r="F71" i="4"/>
  <c r="F127" i="4"/>
  <c r="F457" i="4"/>
  <c r="F469" i="4"/>
  <c r="F545" i="4"/>
  <c r="F571" i="4"/>
  <c r="F853" i="4"/>
  <c r="F867" i="4"/>
  <c r="F941" i="4"/>
  <c r="F948" i="4"/>
  <c r="F64" i="4"/>
  <c r="F128" i="4"/>
  <c r="F537" i="4"/>
  <c r="F546" i="4"/>
  <c r="F225" i="4"/>
  <c r="F310" i="4"/>
  <c r="F547" i="4"/>
  <c r="F145" i="4"/>
  <c r="F149" i="4"/>
  <c r="F548" i="4"/>
  <c r="F322" i="4"/>
  <c r="F107" i="4"/>
  <c r="F234" i="4"/>
  <c r="F244" i="4"/>
  <c r="F265" i="4"/>
  <c r="F276" i="4"/>
  <c r="F287" i="4"/>
  <c r="F298" i="4"/>
  <c r="F311" i="4"/>
  <c r="F507" i="4"/>
  <c r="F331" i="4"/>
  <c r="F340" i="4"/>
  <c r="F42" i="4"/>
  <c r="F341" i="4"/>
  <c r="F119" i="4"/>
  <c r="F133" i="4"/>
  <c r="F167" i="4"/>
  <c r="F213" i="4"/>
  <c r="F470" i="4"/>
  <c r="F514" i="4"/>
  <c r="F559" i="4"/>
  <c r="F600" i="4"/>
  <c r="F679" i="4"/>
  <c r="F860" i="4"/>
  <c r="F861" i="4"/>
  <c r="F316" i="4"/>
  <c r="F328" i="4"/>
  <c r="F337" i="4"/>
  <c r="F342" i="4"/>
  <c r="F863" i="4"/>
  <c r="F97" i="4"/>
  <c r="F176" i="4"/>
  <c r="F226" i="4"/>
  <c r="F416" i="4"/>
  <c r="F422" i="4"/>
  <c r="F443" i="4"/>
  <c r="F806" i="4"/>
  <c r="F846" i="4"/>
  <c r="F412" i="4"/>
  <c r="F426" i="4"/>
  <c r="F868" i="4"/>
  <c r="F65" i="4"/>
  <c r="F168" i="4"/>
  <c r="F214" i="4"/>
  <c r="F43" i="4"/>
  <c r="F77" i="4"/>
  <c r="F98" i="4"/>
  <c r="F169" i="4"/>
  <c r="F215" i="4"/>
  <c r="F152" i="4"/>
  <c r="F158" i="4"/>
  <c r="F170" i="4"/>
  <c r="F177" i="4"/>
  <c r="F183" i="4"/>
  <c r="F193" i="4"/>
  <c r="F202" i="4"/>
  <c r="F216" i="4"/>
  <c r="F227" i="4"/>
  <c r="F235" i="4"/>
  <c r="F245" i="4"/>
  <c r="F254" i="4"/>
  <c r="F257" i="4"/>
  <c r="F266" i="4"/>
  <c r="F277" i="4"/>
  <c r="F288" i="4"/>
  <c r="F299" i="4"/>
  <c r="F312" i="4"/>
  <c r="F108" i="4"/>
  <c r="F113" i="4"/>
  <c r="F129" i="4"/>
  <c r="F427" i="4"/>
  <c r="F236" i="4"/>
  <c r="F246" i="4"/>
  <c r="F267" i="4"/>
  <c r="F278" i="4"/>
  <c r="F289" i="4"/>
  <c r="F300" i="4"/>
  <c r="F313" i="4"/>
  <c r="F480" i="4"/>
  <c r="F2" i="4"/>
  <c r="F237" i="4"/>
  <c r="F247" i="4"/>
  <c r="F268" i="4"/>
  <c r="F279" i="4"/>
  <c r="F290" i="4"/>
  <c r="F301" i="4"/>
  <c r="F314" i="4"/>
  <c r="F674" i="4"/>
  <c r="F721" i="4"/>
  <c r="F732" i="4"/>
  <c r="F743" i="4"/>
  <c r="F754" i="4"/>
  <c r="F66" i="4"/>
  <c r="F109" i="4"/>
  <c r="F428" i="4"/>
  <c r="F413" i="4"/>
  <c r="F417" i="4"/>
  <c r="F429" i="4"/>
  <c r="F449" i="4"/>
  <c r="F675" i="4"/>
  <c r="F689" i="4"/>
  <c r="F67" i="4"/>
  <c r="F110" i="4"/>
  <c r="F120" i="4"/>
  <c r="F130" i="4"/>
  <c r="F430" i="4"/>
  <c r="F450" i="4"/>
  <c r="F515" i="4"/>
  <c r="F540" i="4"/>
  <c r="F184" i="4"/>
  <c r="F228" i="4"/>
  <c r="F471" i="4"/>
  <c r="F325" i="4"/>
  <c r="F332" i="4"/>
  <c r="F5" i="4"/>
  <c r="F9" i="4"/>
  <c r="F13" i="4"/>
  <c r="F17" i="4"/>
  <c r="F21" i="4"/>
  <c r="F25" i="4"/>
  <c r="F29" i="4"/>
  <c r="F72" i="4"/>
  <c r="F99" i="4"/>
  <c r="F451" i="4"/>
  <c r="F472" i="4"/>
  <c r="F35" i="4"/>
  <c r="F217" i="4"/>
  <c r="F326" i="4"/>
  <c r="F333" i="4"/>
  <c r="F338" i="4"/>
  <c r="F6" i="4"/>
  <c r="F10" i="4"/>
  <c r="F14" i="4"/>
  <c r="F18" i="4"/>
  <c r="F22" i="4"/>
  <c r="F26" i="4"/>
  <c r="F30" i="4"/>
  <c r="F36" i="4"/>
  <c r="F44" i="4"/>
  <c r="F73" i="4"/>
  <c r="F89" i="4"/>
  <c r="F100" i="4"/>
  <c r="F131" i="4"/>
  <c r="F136" i="4"/>
  <c r="F153" i="4"/>
  <c r="F159" i="4"/>
  <c r="F178" i="4"/>
  <c r="F185" i="4"/>
  <c r="F218" i="4"/>
  <c r="F229" i="4"/>
  <c r="F238" i="4"/>
  <c r="F248" i="4"/>
  <c r="F255" i="4"/>
  <c r="F269" i="4"/>
  <c r="F280" i="4"/>
  <c r="F291" i="4"/>
  <c r="F302" i="4"/>
  <c r="F315" i="4"/>
  <c r="F80" i="4"/>
  <c r="F83" i="4"/>
  <c r="F90" i="4"/>
  <c r="F343" i="4"/>
  <c r="F171" i="4"/>
  <c r="F45" i="4"/>
  <c r="F101" i="4"/>
  <c r="F111" i="4"/>
  <c r="F418" i="4"/>
  <c r="F423" i="4"/>
  <c r="F437" i="4"/>
  <c r="F444" i="4"/>
  <c r="F452" i="4"/>
  <c r="F458" i="4"/>
  <c r="F473" i="4"/>
  <c r="F502" i="4"/>
  <c r="F524" i="4"/>
  <c r="F532" i="4"/>
  <c r="F551" i="4"/>
  <c r="F560" i="4"/>
  <c r="F572" i="4"/>
  <c r="F581" i="4"/>
  <c r="F587" i="4"/>
  <c r="F595" i="4"/>
  <c r="F630" i="4"/>
  <c r="F646" i="4"/>
  <c r="F662" i="4"/>
  <c r="F671" i="4"/>
  <c r="F680" i="4"/>
  <c r="F701" i="4"/>
  <c r="F707" i="4"/>
  <c r="F722" i="4"/>
  <c r="F733" i="4"/>
  <c r="F744" i="4"/>
  <c r="F755" i="4"/>
  <c r="F764" i="4"/>
  <c r="F807" i="4"/>
  <c r="F831" i="4"/>
  <c r="F839" i="4"/>
  <c r="F847" i="4"/>
  <c r="F854" i="4"/>
  <c r="F869" i="4"/>
  <c r="F893" i="4"/>
  <c r="F902" i="4"/>
  <c r="F942" i="4"/>
  <c r="F949" i="4"/>
  <c r="F952" i="4"/>
  <c r="F963" i="4"/>
  <c r="F976" i="4"/>
  <c r="F984" i="4"/>
  <c r="F992" i="4"/>
  <c r="F1000" i="4"/>
  <c r="F46" i="4"/>
  <c r="F102" i="4"/>
  <c r="F194" i="4"/>
  <c r="F203" i="4"/>
  <c r="F219" i="4"/>
  <c r="F459" i="4"/>
  <c r="F491" i="4"/>
  <c r="F503" i="4"/>
  <c r="F561" i="4"/>
  <c r="F832" i="4"/>
  <c r="F840" i="4"/>
  <c r="F841" i="4"/>
  <c r="F855" i="4"/>
  <c r="F931" i="4"/>
  <c r="F47" i="4"/>
  <c r="F81" i="4"/>
  <c r="F84" i="4"/>
  <c r="F91" i="4"/>
  <c r="F103" i="4"/>
  <c r="F112" i="4"/>
  <c r="F172" i="4"/>
  <c r="F220" i="4"/>
  <c r="F460" i="4"/>
  <c r="F525" i="4"/>
  <c r="F533" i="4"/>
  <c r="F856" i="4"/>
  <c r="F857" i="4"/>
  <c r="F53" i="4"/>
  <c r="F440" i="4"/>
  <c r="F48" i="4"/>
  <c r="F78" i="4"/>
  <c r="F104" i="4"/>
  <c r="F54" i="4"/>
  <c r="F121" i="4"/>
  <c r="F124" i="4"/>
  <c r="F68" i="4"/>
  <c r="F122" i="4"/>
  <c r="F55" i="4"/>
  <c r="F249" i="4"/>
  <c r="F258" i="4"/>
  <c r="F920" i="4"/>
  <c r="F56" i="4"/>
  <c r="F69" i="4"/>
  <c r="F894" i="4"/>
  <c r="F903" i="4"/>
  <c r="F953" i="4"/>
  <c r="F964" i="4"/>
  <c r="F977" i="4"/>
  <c r="F985" i="4"/>
  <c r="F993" i="4"/>
  <c r="F1001" i="4"/>
  <c r="F895" i="4"/>
  <c r="F904" i="4"/>
  <c r="F954" i="4"/>
  <c r="F965" i="4"/>
  <c r="F978" i="4"/>
  <c r="F986" i="4"/>
  <c r="F994" i="4"/>
  <c r="F1002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71" i="4"/>
  <c r="F419" i="4"/>
  <c r="F424" i="4"/>
  <c r="F438" i="4"/>
  <c r="F445" i="4"/>
  <c r="F453" i="4"/>
  <c r="F461" i="4"/>
  <c r="F474" i="4"/>
  <c r="F486" i="4"/>
  <c r="F492" i="4"/>
  <c r="F496" i="4"/>
  <c r="F504" i="4"/>
  <c r="F526" i="4"/>
  <c r="F534" i="4"/>
  <c r="F552" i="4"/>
  <c r="F562" i="4"/>
  <c r="F573" i="4"/>
  <c r="F577" i="4"/>
  <c r="F582" i="4"/>
  <c r="F588" i="4"/>
  <c r="F596" i="4"/>
  <c r="F601" i="4"/>
  <c r="F631" i="4"/>
  <c r="F647" i="4"/>
  <c r="F663" i="4"/>
  <c r="F681" i="4"/>
  <c r="F702" i="4"/>
  <c r="F708" i="4"/>
  <c r="F723" i="4"/>
  <c r="F734" i="4"/>
  <c r="F745" i="4"/>
  <c r="F756" i="4"/>
  <c r="F765" i="4"/>
  <c r="F808" i="4"/>
  <c r="F833" i="4"/>
  <c r="F842" i="4"/>
  <c r="F848" i="4"/>
  <c r="F858" i="4"/>
  <c r="F870" i="4"/>
  <c r="F932" i="4"/>
  <c r="F943" i="4"/>
  <c r="F950" i="4"/>
  <c r="F370" i="4"/>
  <c r="F484" i="4"/>
  <c r="F462" i="4"/>
  <c r="F475" i="4"/>
  <c r="F485" i="4"/>
  <c r="F488" i="4"/>
  <c r="F489" i="4"/>
  <c r="F508" i="4"/>
  <c r="F553" i="4"/>
  <c r="F555" i="4"/>
  <c r="F563" i="4"/>
  <c r="F574" i="4"/>
  <c r="F583" i="4"/>
  <c r="F589" i="4"/>
  <c r="F597" i="4"/>
  <c r="F602" i="4"/>
  <c r="F622" i="4"/>
  <c r="F632" i="4"/>
  <c r="F648" i="4"/>
  <c r="F656" i="4"/>
  <c r="F664" i="4"/>
  <c r="F672" i="4"/>
  <c r="F682" i="4"/>
  <c r="F686" i="4"/>
  <c r="F693" i="4"/>
  <c r="F695" i="4"/>
  <c r="F703" i="4"/>
  <c r="F710" i="4"/>
  <c r="F714" i="4"/>
  <c r="F724" i="4"/>
  <c r="F735" i="4"/>
  <c r="F746" i="4"/>
  <c r="F757" i="4"/>
  <c r="F766" i="4"/>
  <c r="F769" i="4"/>
  <c r="F810" i="4"/>
  <c r="F813" i="4"/>
  <c r="F816" i="4"/>
  <c r="F819" i="4"/>
  <c r="F822" i="4"/>
  <c r="F825" i="4"/>
  <c r="F828" i="4"/>
  <c r="F843" i="4"/>
  <c r="F881" i="4"/>
  <c r="F887" i="4"/>
  <c r="F896" i="4"/>
  <c r="F905" i="4"/>
  <c r="F910" i="4"/>
  <c r="F955" i="4"/>
  <c r="F959" i="4"/>
  <c r="F966" i="4"/>
  <c r="F970" i="4"/>
  <c r="F979" i="4"/>
  <c r="F987" i="4"/>
  <c r="F995" i="4"/>
  <c r="F1003" i="4"/>
  <c r="F1008" i="4"/>
  <c r="F610" i="4"/>
  <c r="F633" i="4"/>
  <c r="F611" i="4"/>
  <c r="F634" i="4"/>
  <c r="F493" i="4"/>
  <c r="F497" i="4"/>
  <c r="F612" i="4"/>
  <c r="F635" i="4"/>
  <c r="F613" i="4"/>
  <c r="F636" i="4"/>
  <c r="F505" i="4"/>
  <c r="F614" i="4"/>
  <c r="F649" i="4"/>
  <c r="F615" i="4"/>
  <c r="F650" i="4"/>
  <c r="F616" i="4"/>
  <c r="F651" i="4"/>
  <c r="F617" i="4"/>
  <c r="F652" i="4"/>
  <c r="F618" i="4"/>
  <c r="F653" i="4"/>
  <c r="F620" i="4"/>
  <c r="F66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1013" i="4"/>
  <c r="F411" i="4"/>
  <c r="F564" i="4"/>
  <c r="F666" i="4"/>
  <c r="F862" i="4"/>
  <c r="F1011" i="4"/>
  <c r="F1015" i="4"/>
  <c r="F565" i="4"/>
  <c r="F667" i="4"/>
  <c r="F1017" i="4"/>
  <c r="F431" i="4"/>
  <c r="F481" i="4"/>
  <c r="F414" i="4"/>
  <c r="F420" i="4"/>
  <c r="F432" i="4"/>
  <c r="F466" i="4"/>
  <c r="F476" i="4"/>
  <c r="F509" i="4"/>
  <c r="F516" i="4"/>
  <c r="F603" i="4"/>
  <c r="F517" i="4"/>
  <c r="F477" i="4"/>
  <c r="F604" i="4"/>
  <c r="F433" i="4"/>
  <c r="F482" i="4"/>
  <c r="F770" i="4"/>
  <c r="F483" i="4"/>
  <c r="F771" i="4"/>
  <c r="F566" i="4"/>
  <c r="F575" i="4"/>
  <c r="F590" i="4"/>
  <c r="F605" i="4"/>
  <c r="F637" i="4"/>
  <c r="F654" i="4"/>
  <c r="F668" i="4"/>
  <c r="F683" i="4"/>
  <c r="F696" i="4"/>
  <c r="F704" i="4"/>
  <c r="F711" i="4"/>
  <c r="F715" i="4"/>
  <c r="F725" i="4"/>
  <c r="F736" i="4"/>
  <c r="F747" i="4"/>
  <c r="F758" i="4"/>
  <c r="F772" i="4"/>
  <c r="F538" i="4"/>
  <c r="F591" i="4"/>
  <c r="F871" i="4"/>
  <c r="F882" i="4"/>
  <c r="F897" i="4"/>
  <c r="F911" i="4"/>
  <c r="F915" i="4"/>
  <c r="F921" i="4"/>
  <c r="F925" i="4"/>
  <c r="F463" i="4"/>
  <c r="F578" i="4"/>
  <c r="F933" i="4"/>
  <c r="F876" i="4"/>
  <c r="F973" i="4"/>
  <c r="F536" i="4"/>
  <c r="F567" i="4"/>
  <c r="F606" i="4"/>
  <c r="F454" i="4"/>
  <c r="F464" i="4"/>
  <c r="F465" i="4"/>
  <c r="F478" i="4"/>
  <c r="F527" i="4"/>
  <c r="F535" i="4"/>
  <c r="F541" i="4"/>
  <c r="F619" i="4"/>
  <c r="F657" i="4"/>
  <c r="F684" i="4"/>
  <c r="F697" i="4"/>
  <c r="F705" i="4"/>
  <c r="F726" i="4"/>
  <c r="F737" i="4"/>
  <c r="F748" i="4"/>
  <c r="F759" i="4"/>
  <c r="F712" i="4"/>
  <c r="F716" i="4"/>
  <c r="F727" i="4"/>
  <c r="F738" i="4"/>
  <c r="F749" i="4"/>
  <c r="F760" i="4"/>
  <c r="F782" i="4"/>
  <c r="F783" i="4"/>
  <c r="F785" i="4"/>
  <c r="F786" i="4"/>
  <c r="F788" i="4"/>
  <c r="F789" i="4"/>
  <c r="F791" i="4"/>
  <c r="F792" i="4"/>
  <c r="F794" i="4"/>
  <c r="F795" i="4"/>
  <c r="F797" i="4"/>
  <c r="F798" i="4"/>
  <c r="F800" i="4"/>
  <c r="F801" i="4"/>
  <c r="F803" i="4"/>
  <c r="F804" i="4"/>
  <c r="F811" i="4"/>
  <c r="F814" i="4"/>
  <c r="F817" i="4"/>
  <c r="F820" i="4"/>
  <c r="F823" i="4"/>
  <c r="F826" i="4"/>
  <c r="F829" i="4"/>
  <c r="F834" i="4"/>
  <c r="F844" i="4"/>
  <c r="F859" i="4"/>
  <c r="F883" i="4"/>
  <c r="F888" i="4"/>
  <c r="F873" i="4"/>
  <c r="F875" i="4"/>
  <c r="F877" i="4"/>
  <c r="F884" i="4"/>
  <c r="F889" i="4"/>
  <c r="F898" i="4"/>
  <c r="F906" i="4"/>
  <c r="F912" i="4"/>
  <c r="F916" i="4"/>
  <c r="F922" i="4"/>
  <c r="F927" i="4"/>
  <c r="F934" i="4"/>
  <c r="F878" i="4"/>
  <c r="F899" i="4"/>
  <c r="F907" i="4"/>
  <c r="F879" i="4"/>
  <c r="F885" i="4"/>
  <c r="F890" i="4"/>
  <c r="F900" i="4"/>
  <c r="F908" i="4"/>
  <c r="F917" i="4"/>
  <c r="F923" i="4"/>
  <c r="F928" i="4"/>
  <c r="F935" i="4"/>
  <c r="F936" i="4"/>
  <c r="F944" i="4"/>
  <c r="F945" i="4"/>
  <c r="F956" i="4"/>
  <c r="F960" i="4"/>
  <c r="F967" i="4"/>
  <c r="F971" i="4"/>
  <c r="F974" i="4"/>
  <c r="F980" i="4"/>
  <c r="F988" i="4"/>
  <c r="F996" i="4"/>
  <c r="F1004" i="4"/>
  <c r="F1009" i="4"/>
  <c r="F957" i="4"/>
  <c r="F961" i="4"/>
  <c r="F968" i="4"/>
  <c r="F972" i="4"/>
  <c r="F981" i="4"/>
  <c r="F989" i="4"/>
  <c r="F997" i="4"/>
  <c r="F1005" i="4"/>
  <c r="F1010" i="4"/>
  <c r="F982" i="4"/>
  <c r="F990" i="4"/>
  <c r="F998" i="4"/>
  <c r="F1006" i="4"/>
  <c r="F1014" i="4"/>
  <c r="F1018" i="4"/>
  <c r="D49" i="4"/>
  <c r="D849" i="4"/>
  <c r="D865" i="4"/>
  <c r="D154" i="4"/>
  <c r="D186" i="4"/>
  <c r="D607" i="4"/>
  <c r="D623" i="4"/>
  <c r="D344" i="4"/>
  <c r="D809" i="4"/>
  <c r="D812" i="4"/>
  <c r="D815" i="4"/>
  <c r="D818" i="4"/>
  <c r="D821" i="4"/>
  <c r="D824" i="4"/>
  <c r="D827" i="4"/>
  <c r="D835" i="4"/>
  <c r="D850" i="4"/>
  <c r="D187" i="4"/>
  <c r="D624" i="4"/>
  <c r="D345" i="4"/>
  <c r="D441" i="4"/>
  <c r="D188" i="4"/>
  <c r="D494" i="4"/>
  <c r="D498" i="4"/>
  <c r="D520" i="4"/>
  <c r="D521" i="4"/>
  <c r="D528" i="4"/>
  <c r="D529" i="4"/>
  <c r="D625" i="4"/>
  <c r="D346" i="4"/>
  <c r="D1019" i="4"/>
  <c r="D1020" i="4"/>
  <c r="D189" i="4"/>
  <c r="D626" i="4"/>
  <c r="D347" i="4"/>
  <c r="D195" i="4"/>
  <c r="D499" i="4"/>
  <c r="D608" i="4"/>
  <c r="D638" i="4"/>
  <c r="D348" i="4"/>
  <c r="D50" i="4"/>
  <c r="D872" i="4"/>
  <c r="D874" i="4"/>
  <c r="D37" i="4"/>
  <c r="D74" i="4"/>
  <c r="D92" i="4"/>
  <c r="D446" i="4"/>
  <c r="D909" i="4"/>
  <c r="D913" i="4"/>
  <c r="D918" i="4"/>
  <c r="D926" i="4"/>
  <c r="D929" i="4"/>
  <c r="D51" i="4"/>
  <c r="D891" i="4"/>
  <c r="D901" i="4"/>
  <c r="D57" i="4"/>
  <c r="D880" i="4"/>
  <c r="D886" i="4"/>
  <c r="D173" i="4"/>
  <c r="D930" i="4"/>
  <c r="D134" i="4"/>
  <c r="D196" i="4"/>
  <c r="D639" i="4"/>
  <c r="D349" i="4"/>
  <c r="D197" i="4"/>
  <c r="D640" i="4"/>
  <c r="D350" i="4"/>
  <c r="D198" i="4"/>
  <c r="D641" i="4"/>
  <c r="D351" i="4"/>
  <c r="D85" i="4"/>
  <c r="D642" i="4"/>
  <c r="D352" i="4"/>
  <c r="D31" i="4"/>
  <c r="D155" i="4"/>
  <c r="D204" i="4"/>
  <c r="D303" i="4"/>
  <c r="D609" i="4"/>
  <c r="D658" i="4"/>
  <c r="D836" i="4"/>
  <c r="D353" i="4"/>
  <c r="D455" i="4"/>
  <c r="D179" i="4"/>
  <c r="D221" i="4"/>
  <c r="D467" i="4"/>
  <c r="D304" i="4"/>
  <c r="D479" i="4"/>
  <c r="D58" i="4"/>
  <c r="D137" i="4"/>
  <c r="D435" i="4"/>
  <c r="D556" i="4"/>
  <c r="D568" i="4"/>
  <c r="D576" i="4"/>
  <c r="D659" i="4"/>
  <c r="D698" i="4"/>
  <c r="D717" i="4"/>
  <c r="D728" i="4"/>
  <c r="D739" i="4"/>
  <c r="D750" i="4"/>
  <c r="D773" i="4"/>
  <c r="D774" i="4"/>
  <c r="D775" i="4"/>
  <c r="D776" i="4"/>
  <c r="D777" i="4"/>
  <c r="D778" i="4"/>
  <c r="D779" i="4"/>
  <c r="D780" i="4"/>
  <c r="D937" i="4"/>
  <c r="D938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52" i="4"/>
  <c r="D59" i="4"/>
  <c r="D439" i="4"/>
  <c r="D447" i="4"/>
  <c r="D951" i="4"/>
  <c r="D958" i="4"/>
  <c r="D962" i="4"/>
  <c r="D969" i="4"/>
  <c r="D975" i="4"/>
  <c r="D983" i="4"/>
  <c r="D991" i="4"/>
  <c r="D999" i="4"/>
  <c r="D1007" i="4"/>
  <c r="D114" i="4"/>
  <c r="D115" i="4"/>
  <c r="D116" i="4"/>
  <c r="D117" i="4"/>
  <c r="D132" i="4"/>
  <c r="D118" i="4"/>
  <c r="D123" i="4"/>
  <c r="D160" i="4"/>
  <c r="D205" i="4"/>
  <c r="D1012" i="4"/>
  <c r="D1016" i="4"/>
  <c r="D60" i="4"/>
  <c r="D781" i="4"/>
  <c r="D784" i="4"/>
  <c r="D787" i="4"/>
  <c r="D790" i="4"/>
  <c r="D793" i="4"/>
  <c r="D796" i="4"/>
  <c r="D799" i="4"/>
  <c r="D802" i="4"/>
  <c r="D140" i="4"/>
  <c r="D141" i="4"/>
  <c r="D142" i="4"/>
  <c r="D146" i="4"/>
  <c r="D156" i="4"/>
  <c r="D549" i="4"/>
  <c r="D150" i="4"/>
  <c r="D161" i="4"/>
  <c r="D174" i="4"/>
  <c r="D180" i="4"/>
  <c r="D554" i="4"/>
  <c r="D557" i="4"/>
  <c r="D569" i="4"/>
  <c r="D579" i="4"/>
  <c r="D584" i="4"/>
  <c r="D592" i="4"/>
  <c r="D598" i="4"/>
  <c r="D206" i="4"/>
  <c r="D621" i="4"/>
  <c r="D627" i="4"/>
  <c r="D190" i="4"/>
  <c r="D643" i="4"/>
  <c r="D199" i="4"/>
  <c r="D655" i="4"/>
  <c r="D660" i="4"/>
  <c r="D207" i="4"/>
  <c r="D669" i="4"/>
  <c r="D673" i="4"/>
  <c r="D676" i="4"/>
  <c r="D222" i="4"/>
  <c r="D685" i="4"/>
  <c r="D687" i="4"/>
  <c r="D259" i="4"/>
  <c r="D270" i="4"/>
  <c r="D281" i="4"/>
  <c r="D292" i="4"/>
  <c r="D690" i="4"/>
  <c r="D230" i="4"/>
  <c r="D239" i="4"/>
  <c r="D260" i="4"/>
  <c r="D271" i="4"/>
  <c r="D282" i="4"/>
  <c r="D293" i="4"/>
  <c r="D691" i="4"/>
  <c r="D231" i="4"/>
  <c r="D240" i="4"/>
  <c r="D261" i="4"/>
  <c r="D272" i="4"/>
  <c r="D283" i="4"/>
  <c r="D294" i="4"/>
  <c r="D305" i="4"/>
  <c r="D688" i="4"/>
  <c r="D767" i="4"/>
  <c r="D232" i="4"/>
  <c r="D241" i="4"/>
  <c r="D250" i="4"/>
  <c r="D262" i="4"/>
  <c r="D273" i="4"/>
  <c r="D284" i="4"/>
  <c r="D295" i="4"/>
  <c r="D306" i="4"/>
  <c r="D692" i="4"/>
  <c r="D694" i="4"/>
  <c r="D699" i="4"/>
  <c r="D256" i="4"/>
  <c r="D709" i="4"/>
  <c r="D713" i="4"/>
  <c r="D251" i="4"/>
  <c r="D718" i="4"/>
  <c r="D729" i="4"/>
  <c r="D740" i="4"/>
  <c r="D751" i="4"/>
  <c r="D761" i="4"/>
  <c r="D768" i="4"/>
  <c r="D317" i="4"/>
  <c r="D318" i="4"/>
  <c r="D368" i="4"/>
  <c r="D319" i="4"/>
  <c r="D320" i="4"/>
  <c r="D321" i="4"/>
  <c r="D369" i="4"/>
  <c r="D487" i="4"/>
  <c r="D506" i="4"/>
  <c r="D61" i="4"/>
  <c r="D242" i="4"/>
  <c r="D252" i="4"/>
  <c r="D434" i="4"/>
  <c r="D544" i="4"/>
  <c r="D706" i="4"/>
  <c r="D864" i="4"/>
  <c r="D892" i="4"/>
  <c r="D914" i="4"/>
  <c r="D919" i="4"/>
  <c r="D924" i="4"/>
  <c r="D946" i="4"/>
  <c r="D38" i="4"/>
  <c r="D75" i="4"/>
  <c r="D93" i="4"/>
  <c r="D162" i="4"/>
  <c r="D191" i="4"/>
  <c r="D200" i="4"/>
  <c r="D208" i="4"/>
  <c r="D510" i="4"/>
  <c r="D143" i="4"/>
  <c r="D147" i="4"/>
  <c r="D32" i="4"/>
  <c r="D62" i="4"/>
  <c r="D138" i="4"/>
  <c r="D263" i="4"/>
  <c r="D274" i="4"/>
  <c r="D285" i="4"/>
  <c r="D296" i="4"/>
  <c r="D719" i="4"/>
  <c r="D730" i="4"/>
  <c r="D741" i="4"/>
  <c r="D752" i="4"/>
  <c r="D327" i="4"/>
  <c r="D511" i="4"/>
  <c r="D585" i="4"/>
  <c r="D628" i="4"/>
  <c r="D644" i="4"/>
  <c r="D307" i="4"/>
  <c r="D512" i="4"/>
  <c r="D837" i="4"/>
  <c r="D339" i="4"/>
  <c r="D105" i="4"/>
  <c r="D425" i="4"/>
  <c r="D513" i="4"/>
  <c r="D181" i="4"/>
  <c r="D223" i="4"/>
  <c r="D308" i="4"/>
  <c r="D518" i="4"/>
  <c r="D593" i="4"/>
  <c r="D677" i="4"/>
  <c r="D762" i="4"/>
  <c r="D33" i="4"/>
  <c r="D39" i="4"/>
  <c r="D76" i="4"/>
  <c r="D86" i="4"/>
  <c r="D94" i="4"/>
  <c r="D163" i="4"/>
  <c r="D192" i="4"/>
  <c r="D201" i="4"/>
  <c r="D209" i="4"/>
  <c r="D490" i="4"/>
  <c r="D500" i="4"/>
  <c r="D830" i="4"/>
  <c r="D323" i="4"/>
  <c r="D329" i="4"/>
  <c r="D334" i="4"/>
  <c r="D3" i="4"/>
  <c r="D7" i="4"/>
  <c r="D11" i="4"/>
  <c r="D15" i="4"/>
  <c r="D19" i="4"/>
  <c r="D23" i="4"/>
  <c r="D27" i="4"/>
  <c r="D34" i="4"/>
  <c r="D40" i="4"/>
  <c r="D70" i="4"/>
  <c r="D87" i="4"/>
  <c r="D95" i="4"/>
  <c r="D125" i="4"/>
  <c r="D135" i="4"/>
  <c r="D151" i="4"/>
  <c r="D157" i="4"/>
  <c r="D175" i="4"/>
  <c r="D182" i="4"/>
  <c r="D210" i="4"/>
  <c r="D224" i="4"/>
  <c r="D233" i="4"/>
  <c r="D243" i="4"/>
  <c r="D253" i="4"/>
  <c r="D264" i="4"/>
  <c r="D275" i="4"/>
  <c r="D286" i="4"/>
  <c r="D297" i="4"/>
  <c r="D309" i="4"/>
  <c r="D415" i="4"/>
  <c r="D421" i="4"/>
  <c r="D436" i="4"/>
  <c r="D442" i="4"/>
  <c r="D448" i="4"/>
  <c r="D456" i="4"/>
  <c r="D468" i="4"/>
  <c r="D495" i="4"/>
  <c r="D501" i="4"/>
  <c r="D522" i="4"/>
  <c r="D530" i="4"/>
  <c r="D550" i="4"/>
  <c r="D558" i="4"/>
  <c r="D570" i="4"/>
  <c r="D580" i="4"/>
  <c r="D586" i="4"/>
  <c r="D594" i="4"/>
  <c r="D599" i="4"/>
  <c r="D629" i="4"/>
  <c r="D645" i="4"/>
  <c r="D661" i="4"/>
  <c r="D670" i="4"/>
  <c r="D678" i="4"/>
  <c r="D700" i="4"/>
  <c r="D720" i="4"/>
  <c r="D731" i="4"/>
  <c r="D742" i="4"/>
  <c r="D753" i="4"/>
  <c r="D763" i="4"/>
  <c r="D805" i="4"/>
  <c r="D838" i="4"/>
  <c r="D845" i="4"/>
  <c r="D851" i="4"/>
  <c r="D866" i="4"/>
  <c r="D939" i="4"/>
  <c r="D947" i="4"/>
  <c r="D164" i="4"/>
  <c r="D211" i="4"/>
  <c r="D940" i="4"/>
  <c r="D335" i="4"/>
  <c r="D165" i="4"/>
  <c r="D519" i="4"/>
  <c r="D41" i="4"/>
  <c r="D79" i="4"/>
  <c r="D82" i="4"/>
  <c r="D88" i="4"/>
  <c r="D96" i="4"/>
  <c r="D106" i="4"/>
  <c r="D166" i="4"/>
  <c r="D212" i="4"/>
  <c r="D523" i="4"/>
  <c r="D531" i="4"/>
  <c r="D852" i="4"/>
  <c r="D63" i="4"/>
  <c r="D126" i="4"/>
  <c r="D539" i="4"/>
  <c r="D144" i="4"/>
  <c r="D148" i="4"/>
  <c r="D139" i="4"/>
  <c r="D542" i="4"/>
  <c r="D543" i="4"/>
  <c r="D324" i="4"/>
  <c r="D330" i="4"/>
  <c r="D336" i="4"/>
  <c r="D4" i="4"/>
  <c r="D8" i="4"/>
  <c r="D12" i="4"/>
  <c r="D16" i="4"/>
  <c r="D20" i="4"/>
  <c r="D24" i="4"/>
  <c r="D28" i="4"/>
  <c r="D71" i="4"/>
  <c r="D127" i="4"/>
  <c r="D457" i="4"/>
  <c r="D469" i="4"/>
  <c r="D545" i="4"/>
  <c r="D571" i="4"/>
  <c r="D853" i="4"/>
  <c r="D867" i="4"/>
  <c r="D941" i="4"/>
  <c r="D948" i="4"/>
  <c r="D64" i="4"/>
  <c r="D128" i="4"/>
  <c r="D537" i="4"/>
  <c r="D546" i="4"/>
  <c r="D225" i="4"/>
  <c r="D310" i="4"/>
  <c r="D547" i="4"/>
  <c r="D145" i="4"/>
  <c r="D149" i="4"/>
  <c r="D548" i="4"/>
  <c r="D322" i="4"/>
  <c r="D107" i="4"/>
  <c r="D234" i="4"/>
  <c r="D244" i="4"/>
  <c r="D265" i="4"/>
  <c r="D276" i="4"/>
  <c r="D287" i="4"/>
  <c r="D298" i="4"/>
  <c r="D311" i="4"/>
  <c r="D507" i="4"/>
  <c r="D331" i="4"/>
  <c r="D340" i="4"/>
  <c r="D42" i="4"/>
  <c r="D341" i="4"/>
  <c r="D119" i="4"/>
  <c r="D133" i="4"/>
  <c r="D167" i="4"/>
  <c r="D213" i="4"/>
  <c r="D470" i="4"/>
  <c r="D514" i="4"/>
  <c r="D559" i="4"/>
  <c r="D600" i="4"/>
  <c r="D679" i="4"/>
  <c r="D860" i="4"/>
  <c r="D861" i="4"/>
  <c r="D316" i="4"/>
  <c r="D328" i="4"/>
  <c r="D337" i="4"/>
  <c r="D342" i="4"/>
  <c r="D863" i="4"/>
  <c r="D97" i="4"/>
  <c r="D176" i="4"/>
  <c r="D226" i="4"/>
  <c r="D416" i="4"/>
  <c r="D422" i="4"/>
  <c r="D443" i="4"/>
  <c r="D806" i="4"/>
  <c r="D846" i="4"/>
  <c r="D412" i="4"/>
  <c r="D426" i="4"/>
  <c r="D868" i="4"/>
  <c r="D65" i="4"/>
  <c r="D168" i="4"/>
  <c r="D214" i="4"/>
  <c r="D43" i="4"/>
  <c r="D77" i="4"/>
  <c r="D98" i="4"/>
  <c r="D169" i="4"/>
  <c r="D215" i="4"/>
  <c r="D152" i="4"/>
  <c r="D158" i="4"/>
  <c r="D170" i="4"/>
  <c r="D177" i="4"/>
  <c r="D183" i="4"/>
  <c r="D193" i="4"/>
  <c r="D202" i="4"/>
  <c r="D216" i="4"/>
  <c r="D227" i="4"/>
  <c r="D235" i="4"/>
  <c r="D245" i="4"/>
  <c r="D254" i="4"/>
  <c r="D257" i="4"/>
  <c r="D266" i="4"/>
  <c r="D277" i="4"/>
  <c r="D288" i="4"/>
  <c r="D299" i="4"/>
  <c r="D312" i="4"/>
  <c r="D108" i="4"/>
  <c r="D113" i="4"/>
  <c r="D129" i="4"/>
  <c r="D427" i="4"/>
  <c r="D236" i="4"/>
  <c r="D246" i="4"/>
  <c r="D267" i="4"/>
  <c r="D278" i="4"/>
  <c r="D289" i="4"/>
  <c r="D300" i="4"/>
  <c r="D313" i="4"/>
  <c r="D480" i="4"/>
  <c r="D2" i="4"/>
  <c r="D237" i="4"/>
  <c r="D247" i="4"/>
  <c r="D268" i="4"/>
  <c r="D279" i="4"/>
  <c r="D290" i="4"/>
  <c r="D301" i="4"/>
  <c r="D314" i="4"/>
  <c r="D674" i="4"/>
  <c r="D721" i="4"/>
  <c r="D732" i="4"/>
  <c r="D743" i="4"/>
  <c r="D754" i="4"/>
  <c r="D66" i="4"/>
  <c r="D109" i="4"/>
  <c r="D428" i="4"/>
  <c r="D413" i="4"/>
  <c r="D417" i="4"/>
  <c r="D429" i="4"/>
  <c r="D449" i="4"/>
  <c r="D675" i="4"/>
  <c r="D689" i="4"/>
  <c r="D67" i="4"/>
  <c r="D110" i="4"/>
  <c r="D120" i="4"/>
  <c r="D130" i="4"/>
  <c r="D430" i="4"/>
  <c r="D450" i="4"/>
  <c r="D515" i="4"/>
  <c r="D540" i="4"/>
  <c r="D184" i="4"/>
  <c r="D228" i="4"/>
  <c r="D471" i="4"/>
  <c r="D325" i="4"/>
  <c r="D332" i="4"/>
  <c r="D5" i="4"/>
  <c r="D9" i="4"/>
  <c r="D13" i="4"/>
  <c r="D17" i="4"/>
  <c r="D21" i="4"/>
  <c r="D25" i="4"/>
  <c r="D29" i="4"/>
  <c r="D72" i="4"/>
  <c r="D99" i="4"/>
  <c r="D451" i="4"/>
  <c r="D472" i="4"/>
  <c r="D35" i="4"/>
  <c r="D217" i="4"/>
  <c r="D326" i="4"/>
  <c r="D333" i="4"/>
  <c r="D338" i="4"/>
  <c r="D6" i="4"/>
  <c r="D10" i="4"/>
  <c r="D14" i="4"/>
  <c r="D18" i="4"/>
  <c r="D22" i="4"/>
  <c r="D26" i="4"/>
  <c r="D30" i="4"/>
  <c r="D36" i="4"/>
  <c r="D44" i="4"/>
  <c r="D73" i="4"/>
  <c r="D89" i="4"/>
  <c r="D100" i="4"/>
  <c r="D131" i="4"/>
  <c r="D136" i="4"/>
  <c r="D153" i="4"/>
  <c r="D159" i="4"/>
  <c r="D178" i="4"/>
  <c r="D185" i="4"/>
  <c r="D218" i="4"/>
  <c r="D229" i="4"/>
  <c r="D238" i="4"/>
  <c r="D248" i="4"/>
  <c r="D255" i="4"/>
  <c r="D269" i="4"/>
  <c r="D280" i="4"/>
  <c r="D291" i="4"/>
  <c r="D302" i="4"/>
  <c r="D315" i="4"/>
  <c r="D80" i="4"/>
  <c r="D83" i="4"/>
  <c r="D90" i="4"/>
  <c r="D343" i="4"/>
  <c r="D171" i="4"/>
  <c r="D45" i="4"/>
  <c r="D101" i="4"/>
  <c r="D111" i="4"/>
  <c r="D418" i="4"/>
  <c r="D423" i="4"/>
  <c r="D437" i="4"/>
  <c r="D444" i="4"/>
  <c r="D452" i="4"/>
  <c r="D458" i="4"/>
  <c r="D473" i="4"/>
  <c r="D502" i="4"/>
  <c r="D524" i="4"/>
  <c r="D532" i="4"/>
  <c r="D551" i="4"/>
  <c r="D560" i="4"/>
  <c r="D572" i="4"/>
  <c r="D581" i="4"/>
  <c r="D587" i="4"/>
  <c r="D595" i="4"/>
  <c r="D630" i="4"/>
  <c r="D646" i="4"/>
  <c r="D662" i="4"/>
  <c r="D671" i="4"/>
  <c r="D680" i="4"/>
  <c r="D701" i="4"/>
  <c r="D707" i="4"/>
  <c r="D722" i="4"/>
  <c r="D733" i="4"/>
  <c r="D744" i="4"/>
  <c r="D755" i="4"/>
  <c r="D764" i="4"/>
  <c r="D807" i="4"/>
  <c r="D831" i="4"/>
  <c r="D839" i="4"/>
  <c r="D847" i="4"/>
  <c r="D854" i="4"/>
  <c r="D869" i="4"/>
  <c r="D893" i="4"/>
  <c r="D902" i="4"/>
  <c r="D942" i="4"/>
  <c r="D949" i="4"/>
  <c r="D952" i="4"/>
  <c r="D963" i="4"/>
  <c r="D976" i="4"/>
  <c r="D984" i="4"/>
  <c r="D992" i="4"/>
  <c r="D1000" i="4"/>
  <c r="D46" i="4"/>
  <c r="D102" i="4"/>
  <c r="D194" i="4"/>
  <c r="D203" i="4"/>
  <c r="D219" i="4"/>
  <c r="D459" i="4"/>
  <c r="D491" i="4"/>
  <c r="D503" i="4"/>
  <c r="D561" i="4"/>
  <c r="D832" i="4"/>
  <c r="D840" i="4"/>
  <c r="D841" i="4"/>
  <c r="D855" i="4"/>
  <c r="D931" i="4"/>
  <c r="D47" i="4"/>
  <c r="D81" i="4"/>
  <c r="D84" i="4"/>
  <c r="D91" i="4"/>
  <c r="D103" i="4"/>
  <c r="D112" i="4"/>
  <c r="D172" i="4"/>
  <c r="D220" i="4"/>
  <c r="D460" i="4"/>
  <c r="D525" i="4"/>
  <c r="D533" i="4"/>
  <c r="D856" i="4"/>
  <c r="D857" i="4"/>
  <c r="D53" i="4"/>
  <c r="D440" i="4"/>
  <c r="D48" i="4"/>
  <c r="D78" i="4"/>
  <c r="D104" i="4"/>
  <c r="D54" i="4"/>
  <c r="D121" i="4"/>
  <c r="D124" i="4"/>
  <c r="D68" i="4"/>
  <c r="D122" i="4"/>
  <c r="D55" i="4"/>
  <c r="D249" i="4"/>
  <c r="D258" i="4"/>
  <c r="D920" i="4"/>
  <c r="D56" i="4"/>
  <c r="D69" i="4"/>
  <c r="D894" i="4"/>
  <c r="D903" i="4"/>
  <c r="D953" i="4"/>
  <c r="D964" i="4"/>
  <c r="D977" i="4"/>
  <c r="D985" i="4"/>
  <c r="D993" i="4"/>
  <c r="D1001" i="4"/>
  <c r="D895" i="4"/>
  <c r="D904" i="4"/>
  <c r="D954" i="4"/>
  <c r="D965" i="4"/>
  <c r="D978" i="4"/>
  <c r="D986" i="4"/>
  <c r="D994" i="4"/>
  <c r="D1002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71" i="4"/>
  <c r="D419" i="4"/>
  <c r="D424" i="4"/>
  <c r="D438" i="4"/>
  <c r="D445" i="4"/>
  <c r="D453" i="4"/>
  <c r="D461" i="4"/>
  <c r="D474" i="4"/>
  <c r="D486" i="4"/>
  <c r="D492" i="4"/>
  <c r="D496" i="4"/>
  <c r="D504" i="4"/>
  <c r="D526" i="4"/>
  <c r="D534" i="4"/>
  <c r="D552" i="4"/>
  <c r="D562" i="4"/>
  <c r="D573" i="4"/>
  <c r="D577" i="4"/>
  <c r="D582" i="4"/>
  <c r="D588" i="4"/>
  <c r="D596" i="4"/>
  <c r="D601" i="4"/>
  <c r="D631" i="4"/>
  <c r="D647" i="4"/>
  <c r="D663" i="4"/>
  <c r="D681" i="4"/>
  <c r="D702" i="4"/>
  <c r="D708" i="4"/>
  <c r="D723" i="4"/>
  <c r="D734" i="4"/>
  <c r="D745" i="4"/>
  <c r="D756" i="4"/>
  <c r="D765" i="4"/>
  <c r="D808" i="4"/>
  <c r="D833" i="4"/>
  <c r="D842" i="4"/>
  <c r="D848" i="4"/>
  <c r="D858" i="4"/>
  <c r="D870" i="4"/>
  <c r="D932" i="4"/>
  <c r="D943" i="4"/>
  <c r="D950" i="4"/>
  <c r="D370" i="4"/>
  <c r="D484" i="4"/>
  <c r="D462" i="4"/>
  <c r="D475" i="4"/>
  <c r="D485" i="4"/>
  <c r="D488" i="4"/>
  <c r="D489" i="4"/>
  <c r="D508" i="4"/>
  <c r="D553" i="4"/>
  <c r="D555" i="4"/>
  <c r="D563" i="4"/>
  <c r="D574" i="4"/>
  <c r="D583" i="4"/>
  <c r="D589" i="4"/>
  <c r="D597" i="4"/>
  <c r="D602" i="4"/>
  <c r="D622" i="4"/>
  <c r="D632" i="4"/>
  <c r="D648" i="4"/>
  <c r="D656" i="4"/>
  <c r="D664" i="4"/>
  <c r="D672" i="4"/>
  <c r="D682" i="4"/>
  <c r="D686" i="4"/>
  <c r="D693" i="4"/>
  <c r="D695" i="4"/>
  <c r="D703" i="4"/>
  <c r="D710" i="4"/>
  <c r="D714" i="4"/>
  <c r="D724" i="4"/>
  <c r="D735" i="4"/>
  <c r="D746" i="4"/>
  <c r="D757" i="4"/>
  <c r="D766" i="4"/>
  <c r="D769" i="4"/>
  <c r="D810" i="4"/>
  <c r="D813" i="4"/>
  <c r="D816" i="4"/>
  <c r="D819" i="4"/>
  <c r="D822" i="4"/>
  <c r="D825" i="4"/>
  <c r="D828" i="4"/>
  <c r="D843" i="4"/>
  <c r="D881" i="4"/>
  <c r="D887" i="4"/>
  <c r="D896" i="4"/>
  <c r="D905" i="4"/>
  <c r="D910" i="4"/>
  <c r="D955" i="4"/>
  <c r="D959" i="4"/>
  <c r="D966" i="4"/>
  <c r="D970" i="4"/>
  <c r="D979" i="4"/>
  <c r="D987" i="4"/>
  <c r="D995" i="4"/>
  <c r="D1003" i="4"/>
  <c r="D1008" i="4"/>
  <c r="D610" i="4"/>
  <c r="D633" i="4"/>
  <c r="D611" i="4"/>
  <c r="D634" i="4"/>
  <c r="D493" i="4"/>
  <c r="D497" i="4"/>
  <c r="D612" i="4"/>
  <c r="D635" i="4"/>
  <c r="D613" i="4"/>
  <c r="D636" i="4"/>
  <c r="D505" i="4"/>
  <c r="D614" i="4"/>
  <c r="D649" i="4"/>
  <c r="D615" i="4"/>
  <c r="D650" i="4"/>
  <c r="D616" i="4"/>
  <c r="D651" i="4"/>
  <c r="D617" i="4"/>
  <c r="D652" i="4"/>
  <c r="D618" i="4"/>
  <c r="D653" i="4"/>
  <c r="D620" i="4"/>
  <c r="D66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1013" i="4"/>
  <c r="D411" i="4"/>
  <c r="D564" i="4"/>
  <c r="D666" i="4"/>
  <c r="D862" i="4"/>
  <c r="D1011" i="4"/>
  <c r="D1015" i="4"/>
  <c r="D565" i="4"/>
  <c r="D667" i="4"/>
  <c r="D1017" i="4"/>
  <c r="D431" i="4"/>
  <c r="D481" i="4"/>
  <c r="D414" i="4"/>
  <c r="D420" i="4"/>
  <c r="D432" i="4"/>
  <c r="D466" i="4"/>
  <c r="D476" i="4"/>
  <c r="D509" i="4"/>
  <c r="D516" i="4"/>
  <c r="D603" i="4"/>
  <c r="D517" i="4"/>
  <c r="D477" i="4"/>
  <c r="D604" i="4"/>
  <c r="D433" i="4"/>
  <c r="D482" i="4"/>
  <c r="D770" i="4"/>
  <c r="D483" i="4"/>
  <c r="D771" i="4"/>
  <c r="D566" i="4"/>
  <c r="D575" i="4"/>
  <c r="D590" i="4"/>
  <c r="D605" i="4"/>
  <c r="D637" i="4"/>
  <c r="D654" i="4"/>
  <c r="D668" i="4"/>
  <c r="D683" i="4"/>
  <c r="D696" i="4"/>
  <c r="D704" i="4"/>
  <c r="D711" i="4"/>
  <c r="D715" i="4"/>
  <c r="D725" i="4"/>
  <c r="D736" i="4"/>
  <c r="D747" i="4"/>
  <c r="D758" i="4"/>
  <c r="D772" i="4"/>
  <c r="D538" i="4"/>
  <c r="D591" i="4"/>
  <c r="D871" i="4"/>
  <c r="D882" i="4"/>
  <c r="D897" i="4"/>
  <c r="D911" i="4"/>
  <c r="D915" i="4"/>
  <c r="D921" i="4"/>
  <c r="D925" i="4"/>
  <c r="D463" i="4"/>
  <c r="D578" i="4"/>
  <c r="D933" i="4"/>
  <c r="D876" i="4"/>
  <c r="D973" i="4"/>
  <c r="D536" i="4"/>
  <c r="D567" i="4"/>
  <c r="D606" i="4"/>
  <c r="D454" i="4"/>
  <c r="D464" i="4"/>
  <c r="D465" i="4"/>
  <c r="D478" i="4"/>
  <c r="D527" i="4"/>
  <c r="D535" i="4"/>
  <c r="D541" i="4"/>
  <c r="D619" i="4"/>
  <c r="D657" i="4"/>
  <c r="D684" i="4"/>
  <c r="D697" i="4"/>
  <c r="D705" i="4"/>
  <c r="D726" i="4"/>
  <c r="D737" i="4"/>
  <c r="D748" i="4"/>
  <c r="D759" i="4"/>
  <c r="D712" i="4"/>
  <c r="D716" i="4"/>
  <c r="D727" i="4"/>
  <c r="D738" i="4"/>
  <c r="D749" i="4"/>
  <c r="D760" i="4"/>
  <c r="D782" i="4"/>
  <c r="D783" i="4"/>
  <c r="D785" i="4"/>
  <c r="D786" i="4"/>
  <c r="D788" i="4"/>
  <c r="D789" i="4"/>
  <c r="D791" i="4"/>
  <c r="D792" i="4"/>
  <c r="D794" i="4"/>
  <c r="D795" i="4"/>
  <c r="D797" i="4"/>
  <c r="D798" i="4"/>
  <c r="D800" i="4"/>
  <c r="D801" i="4"/>
  <c r="D803" i="4"/>
  <c r="D804" i="4"/>
  <c r="D811" i="4"/>
  <c r="D814" i="4"/>
  <c r="D817" i="4"/>
  <c r="D820" i="4"/>
  <c r="D823" i="4"/>
  <c r="D826" i="4"/>
  <c r="D829" i="4"/>
  <c r="D834" i="4"/>
  <c r="D844" i="4"/>
  <c r="D859" i="4"/>
  <c r="D883" i="4"/>
  <c r="D888" i="4"/>
  <c r="D873" i="4"/>
  <c r="D875" i="4"/>
  <c r="D877" i="4"/>
  <c r="D884" i="4"/>
  <c r="D889" i="4"/>
  <c r="D898" i="4"/>
  <c r="D906" i="4"/>
  <c r="D912" i="4"/>
  <c r="D916" i="4"/>
  <c r="D922" i="4"/>
  <c r="D927" i="4"/>
  <c r="D934" i="4"/>
  <c r="D878" i="4"/>
  <c r="D899" i="4"/>
  <c r="D907" i="4"/>
  <c r="D879" i="4"/>
  <c r="D885" i="4"/>
  <c r="D890" i="4"/>
  <c r="D900" i="4"/>
  <c r="D908" i="4"/>
  <c r="D917" i="4"/>
  <c r="D923" i="4"/>
  <c r="D928" i="4"/>
  <c r="D935" i="4"/>
  <c r="D936" i="4"/>
  <c r="D944" i="4"/>
  <c r="D945" i="4"/>
  <c r="D956" i="4"/>
  <c r="D960" i="4"/>
  <c r="D967" i="4"/>
  <c r="D971" i="4"/>
  <c r="D974" i="4"/>
  <c r="D980" i="4"/>
  <c r="D988" i="4"/>
  <c r="D996" i="4"/>
  <c r="D1004" i="4"/>
  <c r="D1009" i="4"/>
  <c r="D957" i="4"/>
  <c r="D961" i="4"/>
  <c r="D968" i="4"/>
  <c r="D972" i="4"/>
  <c r="D981" i="4"/>
  <c r="D989" i="4"/>
  <c r="D997" i="4"/>
  <c r="D1005" i="4"/>
  <c r="D1010" i="4"/>
  <c r="D982" i="4"/>
  <c r="D990" i="4"/>
  <c r="D998" i="4"/>
  <c r="D1006" i="4"/>
  <c r="D1014" i="4"/>
  <c r="D1018" i="4"/>
  <c r="B49" i="4"/>
  <c r="B849" i="4"/>
  <c r="B865" i="4"/>
  <c r="B154" i="4"/>
  <c r="B186" i="4"/>
  <c r="B607" i="4"/>
  <c r="B623" i="4"/>
  <c r="B344" i="4"/>
  <c r="B809" i="4"/>
  <c r="B812" i="4"/>
  <c r="B815" i="4"/>
  <c r="B818" i="4"/>
  <c r="B821" i="4"/>
  <c r="B824" i="4"/>
  <c r="B827" i="4"/>
  <c r="B835" i="4"/>
  <c r="B850" i="4"/>
  <c r="B187" i="4"/>
  <c r="B624" i="4"/>
  <c r="B345" i="4"/>
  <c r="B441" i="4"/>
  <c r="B188" i="4"/>
  <c r="B494" i="4"/>
  <c r="B498" i="4"/>
  <c r="B520" i="4"/>
  <c r="B521" i="4"/>
  <c r="B528" i="4"/>
  <c r="B529" i="4"/>
  <c r="B625" i="4"/>
  <c r="B346" i="4"/>
  <c r="B1019" i="4"/>
  <c r="B1020" i="4"/>
  <c r="B189" i="4"/>
  <c r="B626" i="4"/>
  <c r="B347" i="4"/>
  <c r="B195" i="4"/>
  <c r="B499" i="4"/>
  <c r="B608" i="4"/>
  <c r="B638" i="4"/>
  <c r="B348" i="4"/>
  <c r="B50" i="4"/>
  <c r="B872" i="4"/>
  <c r="B874" i="4"/>
  <c r="B37" i="4"/>
  <c r="B74" i="4"/>
  <c r="B92" i="4"/>
  <c r="B446" i="4"/>
  <c r="B909" i="4"/>
  <c r="B913" i="4"/>
  <c r="B918" i="4"/>
  <c r="B926" i="4"/>
  <c r="B929" i="4"/>
  <c r="B51" i="4"/>
  <c r="B891" i="4"/>
  <c r="B901" i="4"/>
  <c r="B57" i="4"/>
  <c r="B880" i="4"/>
  <c r="B886" i="4"/>
  <c r="B173" i="4"/>
  <c r="B930" i="4"/>
  <c r="B134" i="4"/>
  <c r="B196" i="4"/>
  <c r="B639" i="4"/>
  <c r="B349" i="4"/>
  <c r="B197" i="4"/>
  <c r="B640" i="4"/>
  <c r="B350" i="4"/>
  <c r="B198" i="4"/>
  <c r="B641" i="4"/>
  <c r="B351" i="4"/>
  <c r="B85" i="4"/>
  <c r="B642" i="4"/>
  <c r="B352" i="4"/>
  <c r="B31" i="4"/>
  <c r="B155" i="4"/>
  <c r="B204" i="4"/>
  <c r="B303" i="4"/>
  <c r="B609" i="4"/>
  <c r="B658" i="4"/>
  <c r="B836" i="4"/>
  <c r="B353" i="4"/>
  <c r="B455" i="4"/>
  <c r="B179" i="4"/>
  <c r="B221" i="4"/>
  <c r="B467" i="4"/>
  <c r="B304" i="4"/>
  <c r="B479" i="4"/>
  <c r="B58" i="4"/>
  <c r="B137" i="4"/>
  <c r="B435" i="4"/>
  <c r="B556" i="4"/>
  <c r="B568" i="4"/>
  <c r="B576" i="4"/>
  <c r="B659" i="4"/>
  <c r="B698" i="4"/>
  <c r="B717" i="4"/>
  <c r="B728" i="4"/>
  <c r="B739" i="4"/>
  <c r="B750" i="4"/>
  <c r="B773" i="4"/>
  <c r="B774" i="4"/>
  <c r="B775" i="4"/>
  <c r="B776" i="4"/>
  <c r="B777" i="4"/>
  <c r="B778" i="4"/>
  <c r="B779" i="4"/>
  <c r="B780" i="4"/>
  <c r="B937" i="4"/>
  <c r="B938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52" i="4"/>
  <c r="B59" i="4"/>
  <c r="B439" i="4"/>
  <c r="B447" i="4"/>
  <c r="B951" i="4"/>
  <c r="B958" i="4"/>
  <c r="B962" i="4"/>
  <c r="B969" i="4"/>
  <c r="B975" i="4"/>
  <c r="B983" i="4"/>
  <c r="B991" i="4"/>
  <c r="B999" i="4"/>
  <c r="B1007" i="4"/>
  <c r="B114" i="4"/>
  <c r="B115" i="4"/>
  <c r="B116" i="4"/>
  <c r="B117" i="4"/>
  <c r="B132" i="4"/>
  <c r="B118" i="4"/>
  <c r="B123" i="4"/>
  <c r="B160" i="4"/>
  <c r="B205" i="4"/>
  <c r="B1012" i="4"/>
  <c r="B1016" i="4"/>
  <c r="B60" i="4"/>
  <c r="B781" i="4"/>
  <c r="B784" i="4"/>
  <c r="B787" i="4"/>
  <c r="B790" i="4"/>
  <c r="B793" i="4"/>
  <c r="B796" i="4"/>
  <c r="B799" i="4"/>
  <c r="B802" i="4"/>
  <c r="B140" i="4"/>
  <c r="B141" i="4"/>
  <c r="B142" i="4"/>
  <c r="B146" i="4"/>
  <c r="B156" i="4"/>
  <c r="B549" i="4"/>
  <c r="B150" i="4"/>
  <c r="B161" i="4"/>
  <c r="B174" i="4"/>
  <c r="B180" i="4"/>
  <c r="B554" i="4"/>
  <c r="B557" i="4"/>
  <c r="B569" i="4"/>
  <c r="B579" i="4"/>
  <c r="B584" i="4"/>
  <c r="B592" i="4"/>
  <c r="B598" i="4"/>
  <c r="B206" i="4"/>
  <c r="B621" i="4"/>
  <c r="B627" i="4"/>
  <c r="B190" i="4"/>
  <c r="B643" i="4"/>
  <c r="B199" i="4"/>
  <c r="B655" i="4"/>
  <c r="B660" i="4"/>
  <c r="B207" i="4"/>
  <c r="B669" i="4"/>
  <c r="B673" i="4"/>
  <c r="B676" i="4"/>
  <c r="B222" i="4"/>
  <c r="B685" i="4"/>
  <c r="B687" i="4"/>
  <c r="B259" i="4"/>
  <c r="B270" i="4"/>
  <c r="B281" i="4"/>
  <c r="B292" i="4"/>
  <c r="B690" i="4"/>
  <c r="B230" i="4"/>
  <c r="B239" i="4"/>
  <c r="B260" i="4"/>
  <c r="B271" i="4"/>
  <c r="B282" i="4"/>
  <c r="B293" i="4"/>
  <c r="B691" i="4"/>
  <c r="B231" i="4"/>
  <c r="B240" i="4"/>
  <c r="B261" i="4"/>
  <c r="B272" i="4"/>
  <c r="B283" i="4"/>
  <c r="B294" i="4"/>
  <c r="B305" i="4"/>
  <c r="B688" i="4"/>
  <c r="B767" i="4"/>
  <c r="B232" i="4"/>
  <c r="B241" i="4"/>
  <c r="B250" i="4"/>
  <c r="B262" i="4"/>
  <c r="B273" i="4"/>
  <c r="B284" i="4"/>
  <c r="B295" i="4"/>
  <c r="B306" i="4"/>
  <c r="B692" i="4"/>
  <c r="B694" i="4"/>
  <c r="B699" i="4"/>
  <c r="B256" i="4"/>
  <c r="B709" i="4"/>
  <c r="B713" i="4"/>
  <c r="B251" i="4"/>
  <c r="B718" i="4"/>
  <c r="B729" i="4"/>
  <c r="B740" i="4"/>
  <c r="B751" i="4"/>
  <c r="B761" i="4"/>
  <c r="B768" i="4"/>
  <c r="B317" i="4"/>
  <c r="B318" i="4"/>
  <c r="B368" i="4"/>
  <c r="B319" i="4"/>
  <c r="B320" i="4"/>
  <c r="B321" i="4"/>
  <c r="B369" i="4"/>
  <c r="B487" i="4"/>
  <c r="B506" i="4"/>
  <c r="B61" i="4"/>
  <c r="B242" i="4"/>
  <c r="B252" i="4"/>
  <c r="B434" i="4"/>
  <c r="B544" i="4"/>
  <c r="B706" i="4"/>
  <c r="B864" i="4"/>
  <c r="B892" i="4"/>
  <c r="B914" i="4"/>
  <c r="B919" i="4"/>
  <c r="B924" i="4"/>
  <c r="B946" i="4"/>
  <c r="B38" i="4"/>
  <c r="B75" i="4"/>
  <c r="B93" i="4"/>
  <c r="B162" i="4"/>
  <c r="B191" i="4"/>
  <c r="B200" i="4"/>
  <c r="B208" i="4"/>
  <c r="B510" i="4"/>
  <c r="B143" i="4"/>
  <c r="B147" i="4"/>
  <c r="B32" i="4"/>
  <c r="B62" i="4"/>
  <c r="B138" i="4"/>
  <c r="B263" i="4"/>
  <c r="B274" i="4"/>
  <c r="B285" i="4"/>
  <c r="B296" i="4"/>
  <c r="B719" i="4"/>
  <c r="B730" i="4"/>
  <c r="B741" i="4"/>
  <c r="B752" i="4"/>
  <c r="B327" i="4"/>
  <c r="B511" i="4"/>
  <c r="B585" i="4"/>
  <c r="B628" i="4"/>
  <c r="B644" i="4"/>
  <c r="B307" i="4"/>
  <c r="B512" i="4"/>
  <c r="B837" i="4"/>
  <c r="B339" i="4"/>
  <c r="B105" i="4"/>
  <c r="B425" i="4"/>
  <c r="B513" i="4"/>
  <c r="B181" i="4"/>
  <c r="B223" i="4"/>
  <c r="B308" i="4"/>
  <c r="B518" i="4"/>
  <c r="B593" i="4"/>
  <c r="B677" i="4"/>
  <c r="B762" i="4"/>
  <c r="B33" i="4"/>
  <c r="B39" i="4"/>
  <c r="B76" i="4"/>
  <c r="B86" i="4"/>
  <c r="B94" i="4"/>
  <c r="B163" i="4"/>
  <c r="B192" i="4"/>
  <c r="B201" i="4"/>
  <c r="B209" i="4"/>
  <c r="B490" i="4"/>
  <c r="B500" i="4"/>
  <c r="B830" i="4"/>
  <c r="B323" i="4"/>
  <c r="B329" i="4"/>
  <c r="B334" i="4"/>
  <c r="B3" i="4"/>
  <c r="B7" i="4"/>
  <c r="B11" i="4"/>
  <c r="B15" i="4"/>
  <c r="B19" i="4"/>
  <c r="B23" i="4"/>
  <c r="B27" i="4"/>
  <c r="B34" i="4"/>
  <c r="B40" i="4"/>
  <c r="B70" i="4"/>
  <c r="B87" i="4"/>
  <c r="B95" i="4"/>
  <c r="B125" i="4"/>
  <c r="B135" i="4"/>
  <c r="B151" i="4"/>
  <c r="B157" i="4"/>
  <c r="B175" i="4"/>
  <c r="B182" i="4"/>
  <c r="B210" i="4"/>
  <c r="B224" i="4"/>
  <c r="B233" i="4"/>
  <c r="B243" i="4"/>
  <c r="B253" i="4"/>
  <c r="B264" i="4"/>
  <c r="B275" i="4"/>
  <c r="B286" i="4"/>
  <c r="B297" i="4"/>
  <c r="B309" i="4"/>
  <c r="B415" i="4"/>
  <c r="B421" i="4"/>
  <c r="B436" i="4"/>
  <c r="B442" i="4"/>
  <c r="B448" i="4"/>
  <c r="B456" i="4"/>
  <c r="B468" i="4"/>
  <c r="B495" i="4"/>
  <c r="B501" i="4"/>
  <c r="B522" i="4"/>
  <c r="B530" i="4"/>
  <c r="B550" i="4"/>
  <c r="B558" i="4"/>
  <c r="B570" i="4"/>
  <c r="B580" i="4"/>
  <c r="B586" i="4"/>
  <c r="B594" i="4"/>
  <c r="B599" i="4"/>
  <c r="B629" i="4"/>
  <c r="B645" i="4"/>
  <c r="B661" i="4"/>
  <c r="B670" i="4"/>
  <c r="B678" i="4"/>
  <c r="B700" i="4"/>
  <c r="B720" i="4"/>
  <c r="B731" i="4"/>
  <c r="B742" i="4"/>
  <c r="B753" i="4"/>
  <c r="B763" i="4"/>
  <c r="B805" i="4"/>
  <c r="B838" i="4"/>
  <c r="B845" i="4"/>
  <c r="B851" i="4"/>
  <c r="B866" i="4"/>
  <c r="B939" i="4"/>
  <c r="B947" i="4"/>
  <c r="B164" i="4"/>
  <c r="B211" i="4"/>
  <c r="B940" i="4"/>
  <c r="B335" i="4"/>
  <c r="B165" i="4"/>
  <c r="B519" i="4"/>
  <c r="B41" i="4"/>
  <c r="B79" i="4"/>
  <c r="B82" i="4"/>
  <c r="B88" i="4"/>
  <c r="B96" i="4"/>
  <c r="B106" i="4"/>
  <c r="B166" i="4"/>
  <c r="B212" i="4"/>
  <c r="B523" i="4"/>
  <c r="B531" i="4"/>
  <c r="B852" i="4"/>
  <c r="B63" i="4"/>
  <c r="B126" i="4"/>
  <c r="B539" i="4"/>
  <c r="B144" i="4"/>
  <c r="B148" i="4"/>
  <c r="B139" i="4"/>
  <c r="B542" i="4"/>
  <c r="B543" i="4"/>
  <c r="B324" i="4"/>
  <c r="B330" i="4"/>
  <c r="B336" i="4"/>
  <c r="B4" i="4"/>
  <c r="B8" i="4"/>
  <c r="B12" i="4"/>
  <c r="B16" i="4"/>
  <c r="B20" i="4"/>
  <c r="B24" i="4"/>
  <c r="B28" i="4"/>
  <c r="B71" i="4"/>
  <c r="B127" i="4"/>
  <c r="B457" i="4"/>
  <c r="B469" i="4"/>
  <c r="B545" i="4"/>
  <c r="B571" i="4"/>
  <c r="B853" i="4"/>
  <c r="B867" i="4"/>
  <c r="B941" i="4"/>
  <c r="B948" i="4"/>
  <c r="B64" i="4"/>
  <c r="B128" i="4"/>
  <c r="B537" i="4"/>
  <c r="B546" i="4"/>
  <c r="B225" i="4"/>
  <c r="B310" i="4"/>
  <c r="B547" i="4"/>
  <c r="B145" i="4"/>
  <c r="B149" i="4"/>
  <c r="B548" i="4"/>
  <c r="B322" i="4"/>
  <c r="B107" i="4"/>
  <c r="B234" i="4"/>
  <c r="B244" i="4"/>
  <c r="B265" i="4"/>
  <c r="B276" i="4"/>
  <c r="B287" i="4"/>
  <c r="B298" i="4"/>
  <c r="B311" i="4"/>
  <c r="B507" i="4"/>
  <c r="B331" i="4"/>
  <c r="B340" i="4"/>
  <c r="B42" i="4"/>
  <c r="B341" i="4"/>
  <c r="B119" i="4"/>
  <c r="B133" i="4"/>
  <c r="B167" i="4"/>
  <c r="B213" i="4"/>
  <c r="B470" i="4"/>
  <c r="B514" i="4"/>
  <c r="B559" i="4"/>
  <c r="B600" i="4"/>
  <c r="B679" i="4"/>
  <c r="B860" i="4"/>
  <c r="B861" i="4"/>
  <c r="B316" i="4"/>
  <c r="B328" i="4"/>
  <c r="B337" i="4"/>
  <c r="B342" i="4"/>
  <c r="B863" i="4"/>
  <c r="B97" i="4"/>
  <c r="B176" i="4"/>
  <c r="B226" i="4"/>
  <c r="B416" i="4"/>
  <c r="B422" i="4"/>
  <c r="B443" i="4"/>
  <c r="B806" i="4"/>
  <c r="B846" i="4"/>
  <c r="B412" i="4"/>
  <c r="B426" i="4"/>
  <c r="B868" i="4"/>
  <c r="B65" i="4"/>
  <c r="B168" i="4"/>
  <c r="B214" i="4"/>
  <c r="B43" i="4"/>
  <c r="B77" i="4"/>
  <c r="B98" i="4"/>
  <c r="B169" i="4"/>
  <c r="B215" i="4"/>
  <c r="B152" i="4"/>
  <c r="B158" i="4"/>
  <c r="B170" i="4"/>
  <c r="B177" i="4"/>
  <c r="B183" i="4"/>
  <c r="B193" i="4"/>
  <c r="B202" i="4"/>
  <c r="B216" i="4"/>
  <c r="B227" i="4"/>
  <c r="B235" i="4"/>
  <c r="B245" i="4"/>
  <c r="B254" i="4"/>
  <c r="B257" i="4"/>
  <c r="B266" i="4"/>
  <c r="B277" i="4"/>
  <c r="B288" i="4"/>
  <c r="B299" i="4"/>
  <c r="B312" i="4"/>
  <c r="B108" i="4"/>
  <c r="B113" i="4"/>
  <c r="B129" i="4"/>
  <c r="B427" i="4"/>
  <c r="B236" i="4"/>
  <c r="B246" i="4"/>
  <c r="B267" i="4"/>
  <c r="B278" i="4"/>
  <c r="B289" i="4"/>
  <c r="B300" i="4"/>
  <c r="B313" i="4"/>
  <c r="B480" i="4"/>
  <c r="B2" i="4"/>
  <c r="B237" i="4"/>
  <c r="B247" i="4"/>
  <c r="B268" i="4"/>
  <c r="B279" i="4"/>
  <c r="B290" i="4"/>
  <c r="B301" i="4"/>
  <c r="B314" i="4"/>
  <c r="B674" i="4"/>
  <c r="B721" i="4"/>
  <c r="B732" i="4"/>
  <c r="B743" i="4"/>
  <c r="B754" i="4"/>
  <c r="B66" i="4"/>
  <c r="B109" i="4"/>
  <c r="B428" i="4"/>
  <c r="B413" i="4"/>
  <c r="B417" i="4"/>
  <c r="B429" i="4"/>
  <c r="B449" i="4"/>
  <c r="B675" i="4"/>
  <c r="B689" i="4"/>
  <c r="B67" i="4"/>
  <c r="B110" i="4"/>
  <c r="B120" i="4"/>
  <c r="B130" i="4"/>
  <c r="B430" i="4"/>
  <c r="B450" i="4"/>
  <c r="B515" i="4"/>
  <c r="B540" i="4"/>
  <c r="B184" i="4"/>
  <c r="B228" i="4"/>
  <c r="B471" i="4"/>
  <c r="B325" i="4"/>
  <c r="B332" i="4"/>
  <c r="B5" i="4"/>
  <c r="B9" i="4"/>
  <c r="B13" i="4"/>
  <c r="B17" i="4"/>
  <c r="B21" i="4"/>
  <c r="B25" i="4"/>
  <c r="B29" i="4"/>
  <c r="B72" i="4"/>
  <c r="B99" i="4"/>
  <c r="B451" i="4"/>
  <c r="B472" i="4"/>
  <c r="B35" i="4"/>
  <c r="B217" i="4"/>
  <c r="B326" i="4"/>
  <c r="B333" i="4"/>
  <c r="B338" i="4"/>
  <c r="B6" i="4"/>
  <c r="B10" i="4"/>
  <c r="B14" i="4"/>
  <c r="B18" i="4"/>
  <c r="B22" i="4"/>
  <c r="B26" i="4"/>
  <c r="B30" i="4"/>
  <c r="B36" i="4"/>
  <c r="B44" i="4"/>
  <c r="B73" i="4"/>
  <c r="B89" i="4"/>
  <c r="B100" i="4"/>
  <c r="B131" i="4"/>
  <c r="B136" i="4"/>
  <c r="B153" i="4"/>
  <c r="B159" i="4"/>
  <c r="B178" i="4"/>
  <c r="B185" i="4"/>
  <c r="B218" i="4"/>
  <c r="B229" i="4"/>
  <c r="B238" i="4"/>
  <c r="B248" i="4"/>
  <c r="B255" i="4"/>
  <c r="B269" i="4"/>
  <c r="B280" i="4"/>
  <c r="B291" i="4"/>
  <c r="B302" i="4"/>
  <c r="B315" i="4"/>
  <c r="B80" i="4"/>
  <c r="B83" i="4"/>
  <c r="B90" i="4"/>
  <c r="B343" i="4"/>
  <c r="B171" i="4"/>
  <c r="B45" i="4"/>
  <c r="B101" i="4"/>
  <c r="B111" i="4"/>
  <c r="B418" i="4"/>
  <c r="B423" i="4"/>
  <c r="B437" i="4"/>
  <c r="B444" i="4"/>
  <c r="B452" i="4"/>
  <c r="B458" i="4"/>
  <c r="B473" i="4"/>
  <c r="B502" i="4"/>
  <c r="B524" i="4"/>
  <c r="B532" i="4"/>
  <c r="B551" i="4"/>
  <c r="B560" i="4"/>
  <c r="B572" i="4"/>
  <c r="B581" i="4"/>
  <c r="B587" i="4"/>
  <c r="B595" i="4"/>
  <c r="B630" i="4"/>
  <c r="B646" i="4"/>
  <c r="B662" i="4"/>
  <c r="B671" i="4"/>
  <c r="B680" i="4"/>
  <c r="B701" i="4"/>
  <c r="B707" i="4"/>
  <c r="B722" i="4"/>
  <c r="B733" i="4"/>
  <c r="B744" i="4"/>
  <c r="B755" i="4"/>
  <c r="B764" i="4"/>
  <c r="B807" i="4"/>
  <c r="B831" i="4"/>
  <c r="B839" i="4"/>
  <c r="B847" i="4"/>
  <c r="B854" i="4"/>
  <c r="B869" i="4"/>
  <c r="B893" i="4"/>
  <c r="B902" i="4"/>
  <c r="B942" i="4"/>
  <c r="B949" i="4"/>
  <c r="B952" i="4"/>
  <c r="B963" i="4"/>
  <c r="B976" i="4"/>
  <c r="B984" i="4"/>
  <c r="B992" i="4"/>
  <c r="B1000" i="4"/>
  <c r="B46" i="4"/>
  <c r="B102" i="4"/>
  <c r="B194" i="4"/>
  <c r="B203" i="4"/>
  <c r="B219" i="4"/>
  <c r="B459" i="4"/>
  <c r="B491" i="4"/>
  <c r="B503" i="4"/>
  <c r="B561" i="4"/>
  <c r="B832" i="4"/>
  <c r="B840" i="4"/>
  <c r="B841" i="4"/>
  <c r="B855" i="4"/>
  <c r="B931" i="4"/>
  <c r="B47" i="4"/>
  <c r="B81" i="4"/>
  <c r="B84" i="4"/>
  <c r="B91" i="4"/>
  <c r="B103" i="4"/>
  <c r="B112" i="4"/>
  <c r="B172" i="4"/>
  <c r="B220" i="4"/>
  <c r="B460" i="4"/>
  <c r="B525" i="4"/>
  <c r="B533" i="4"/>
  <c r="B856" i="4"/>
  <c r="B857" i="4"/>
  <c r="B53" i="4"/>
  <c r="B440" i="4"/>
  <c r="B48" i="4"/>
  <c r="B78" i="4"/>
  <c r="B104" i="4"/>
  <c r="B54" i="4"/>
  <c r="B121" i="4"/>
  <c r="B124" i="4"/>
  <c r="B68" i="4"/>
  <c r="B122" i="4"/>
  <c r="B55" i="4"/>
  <c r="B249" i="4"/>
  <c r="B258" i="4"/>
  <c r="B920" i="4"/>
  <c r="B56" i="4"/>
  <c r="B69" i="4"/>
  <c r="B894" i="4"/>
  <c r="B903" i="4"/>
  <c r="B953" i="4"/>
  <c r="B964" i="4"/>
  <c r="B977" i="4"/>
  <c r="B985" i="4"/>
  <c r="B993" i="4"/>
  <c r="B1001" i="4"/>
  <c r="B895" i="4"/>
  <c r="B904" i="4"/>
  <c r="B954" i="4"/>
  <c r="B965" i="4"/>
  <c r="B978" i="4"/>
  <c r="B986" i="4"/>
  <c r="B994" i="4"/>
  <c r="B1002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71" i="4"/>
  <c r="B419" i="4"/>
  <c r="B424" i="4"/>
  <c r="B438" i="4"/>
  <c r="B445" i="4"/>
  <c r="B453" i="4"/>
  <c r="B461" i="4"/>
  <c r="B474" i="4"/>
  <c r="B486" i="4"/>
  <c r="B492" i="4"/>
  <c r="B496" i="4"/>
  <c r="B504" i="4"/>
  <c r="B526" i="4"/>
  <c r="B534" i="4"/>
  <c r="B552" i="4"/>
  <c r="B562" i="4"/>
  <c r="B573" i="4"/>
  <c r="B577" i="4"/>
  <c r="B582" i="4"/>
  <c r="B588" i="4"/>
  <c r="B596" i="4"/>
  <c r="B601" i="4"/>
  <c r="B631" i="4"/>
  <c r="B647" i="4"/>
  <c r="B663" i="4"/>
  <c r="B681" i="4"/>
  <c r="B702" i="4"/>
  <c r="B708" i="4"/>
  <c r="B723" i="4"/>
  <c r="B734" i="4"/>
  <c r="B745" i="4"/>
  <c r="B756" i="4"/>
  <c r="B765" i="4"/>
  <c r="B808" i="4"/>
  <c r="B833" i="4"/>
  <c r="B842" i="4"/>
  <c r="B848" i="4"/>
  <c r="B858" i="4"/>
  <c r="B870" i="4"/>
  <c r="B932" i="4"/>
  <c r="B943" i="4"/>
  <c r="B950" i="4"/>
  <c r="B370" i="4"/>
  <c r="B484" i="4"/>
  <c r="B462" i="4"/>
  <c r="B475" i="4"/>
  <c r="B485" i="4"/>
  <c r="B488" i="4"/>
  <c r="B489" i="4"/>
  <c r="B508" i="4"/>
  <c r="B553" i="4"/>
  <c r="B555" i="4"/>
  <c r="B563" i="4"/>
  <c r="B574" i="4"/>
  <c r="B583" i="4"/>
  <c r="B589" i="4"/>
  <c r="B597" i="4"/>
  <c r="B602" i="4"/>
  <c r="B622" i="4"/>
  <c r="B632" i="4"/>
  <c r="B648" i="4"/>
  <c r="B656" i="4"/>
  <c r="B664" i="4"/>
  <c r="B672" i="4"/>
  <c r="B682" i="4"/>
  <c r="B686" i="4"/>
  <c r="B693" i="4"/>
  <c r="B695" i="4"/>
  <c r="B703" i="4"/>
  <c r="B710" i="4"/>
  <c r="B714" i="4"/>
  <c r="B724" i="4"/>
  <c r="B735" i="4"/>
  <c r="B746" i="4"/>
  <c r="B757" i="4"/>
  <c r="B766" i="4"/>
  <c r="B769" i="4"/>
  <c r="B810" i="4"/>
  <c r="B813" i="4"/>
  <c r="B816" i="4"/>
  <c r="B819" i="4"/>
  <c r="B822" i="4"/>
  <c r="B825" i="4"/>
  <c r="B828" i="4"/>
  <c r="B843" i="4"/>
  <c r="B881" i="4"/>
  <c r="B887" i="4"/>
  <c r="B896" i="4"/>
  <c r="B905" i="4"/>
  <c r="B910" i="4"/>
  <c r="B955" i="4"/>
  <c r="B959" i="4"/>
  <c r="B966" i="4"/>
  <c r="B970" i="4"/>
  <c r="B979" i="4"/>
  <c r="B987" i="4"/>
  <c r="B995" i="4"/>
  <c r="B1003" i="4"/>
  <c r="B1008" i="4"/>
  <c r="B610" i="4"/>
  <c r="B633" i="4"/>
  <c r="B611" i="4"/>
  <c r="B634" i="4"/>
  <c r="B493" i="4"/>
  <c r="B497" i="4"/>
  <c r="B612" i="4"/>
  <c r="B635" i="4"/>
  <c r="B613" i="4"/>
  <c r="B636" i="4"/>
  <c r="B505" i="4"/>
  <c r="B614" i="4"/>
  <c r="B649" i="4"/>
  <c r="B615" i="4"/>
  <c r="B650" i="4"/>
  <c r="B616" i="4"/>
  <c r="B651" i="4"/>
  <c r="B617" i="4"/>
  <c r="B652" i="4"/>
  <c r="B618" i="4"/>
  <c r="B653" i="4"/>
  <c r="B620" i="4"/>
  <c r="B66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1013" i="4"/>
  <c r="B411" i="4"/>
  <c r="B564" i="4"/>
  <c r="B666" i="4"/>
  <c r="B862" i="4"/>
  <c r="B1011" i="4"/>
  <c r="B1015" i="4"/>
  <c r="B565" i="4"/>
  <c r="B667" i="4"/>
  <c r="B1017" i="4"/>
  <c r="B431" i="4"/>
  <c r="B481" i="4"/>
  <c r="B414" i="4"/>
  <c r="B420" i="4"/>
  <c r="B432" i="4"/>
  <c r="B466" i="4"/>
  <c r="B476" i="4"/>
  <c r="B509" i="4"/>
  <c r="B516" i="4"/>
  <c r="B603" i="4"/>
  <c r="B517" i="4"/>
  <c r="B477" i="4"/>
  <c r="B604" i="4"/>
  <c r="B433" i="4"/>
  <c r="B482" i="4"/>
  <c r="B770" i="4"/>
  <c r="B483" i="4"/>
  <c r="B771" i="4"/>
  <c r="B566" i="4"/>
  <c r="B575" i="4"/>
  <c r="B590" i="4"/>
  <c r="B605" i="4"/>
  <c r="B637" i="4"/>
  <c r="B654" i="4"/>
  <c r="B668" i="4"/>
  <c r="B683" i="4"/>
  <c r="B696" i="4"/>
  <c r="B704" i="4"/>
  <c r="B711" i="4"/>
  <c r="B715" i="4"/>
  <c r="B725" i="4"/>
  <c r="B736" i="4"/>
  <c r="B747" i="4"/>
  <c r="B758" i="4"/>
  <c r="B772" i="4"/>
  <c r="B538" i="4"/>
  <c r="B591" i="4"/>
  <c r="B871" i="4"/>
  <c r="B882" i="4"/>
  <c r="B897" i="4"/>
  <c r="B911" i="4"/>
  <c r="B915" i="4"/>
  <c r="B921" i="4"/>
  <c r="B925" i="4"/>
  <c r="B463" i="4"/>
  <c r="B578" i="4"/>
  <c r="B933" i="4"/>
  <c r="B876" i="4"/>
  <c r="B973" i="4"/>
  <c r="B536" i="4"/>
  <c r="B567" i="4"/>
  <c r="B606" i="4"/>
  <c r="B454" i="4"/>
  <c r="B464" i="4"/>
  <c r="B465" i="4"/>
  <c r="B478" i="4"/>
  <c r="B527" i="4"/>
  <c r="B535" i="4"/>
  <c r="B541" i="4"/>
  <c r="B619" i="4"/>
  <c r="B657" i="4"/>
  <c r="B684" i="4"/>
  <c r="B697" i="4"/>
  <c r="B705" i="4"/>
  <c r="B726" i="4"/>
  <c r="B737" i="4"/>
  <c r="B748" i="4"/>
  <c r="B759" i="4"/>
  <c r="B712" i="4"/>
  <c r="B716" i="4"/>
  <c r="B727" i="4"/>
  <c r="B738" i="4"/>
  <c r="B749" i="4"/>
  <c r="B760" i="4"/>
  <c r="B782" i="4"/>
  <c r="B783" i="4"/>
  <c r="B785" i="4"/>
  <c r="B786" i="4"/>
  <c r="B788" i="4"/>
  <c r="B789" i="4"/>
  <c r="B791" i="4"/>
  <c r="B792" i="4"/>
  <c r="B794" i="4"/>
  <c r="B795" i="4"/>
  <c r="B797" i="4"/>
  <c r="B798" i="4"/>
  <c r="B800" i="4"/>
  <c r="B801" i="4"/>
  <c r="B803" i="4"/>
  <c r="B804" i="4"/>
  <c r="B811" i="4"/>
  <c r="B814" i="4"/>
  <c r="B817" i="4"/>
  <c r="B820" i="4"/>
  <c r="B823" i="4"/>
  <c r="B826" i="4"/>
  <c r="B829" i="4"/>
  <c r="B834" i="4"/>
  <c r="B844" i="4"/>
  <c r="B859" i="4"/>
  <c r="B883" i="4"/>
  <c r="B888" i="4"/>
  <c r="B873" i="4"/>
  <c r="B875" i="4"/>
  <c r="B877" i="4"/>
  <c r="B884" i="4"/>
  <c r="B889" i="4"/>
  <c r="B898" i="4"/>
  <c r="B906" i="4"/>
  <c r="B912" i="4"/>
  <c r="B916" i="4"/>
  <c r="B922" i="4"/>
  <c r="B927" i="4"/>
  <c r="B934" i="4"/>
  <c r="B878" i="4"/>
  <c r="B899" i="4"/>
  <c r="B907" i="4"/>
  <c r="B879" i="4"/>
  <c r="B885" i="4"/>
  <c r="B890" i="4"/>
  <c r="B900" i="4"/>
  <c r="B908" i="4"/>
  <c r="B917" i="4"/>
  <c r="B923" i="4"/>
  <c r="B928" i="4"/>
  <c r="B935" i="4"/>
  <c r="B936" i="4"/>
  <c r="B944" i="4"/>
  <c r="B945" i="4"/>
  <c r="B956" i="4"/>
  <c r="B960" i="4"/>
  <c r="B967" i="4"/>
  <c r="B971" i="4"/>
  <c r="B974" i="4"/>
  <c r="B980" i="4"/>
  <c r="B988" i="4"/>
  <c r="B996" i="4"/>
  <c r="B1004" i="4"/>
  <c r="B1009" i="4"/>
  <c r="B957" i="4"/>
  <c r="B961" i="4"/>
  <c r="B968" i="4"/>
  <c r="B972" i="4"/>
  <c r="B981" i="4"/>
  <c r="B989" i="4"/>
  <c r="B997" i="4"/>
  <c r="B1005" i="4"/>
  <c r="B1010" i="4"/>
  <c r="B982" i="4"/>
  <c r="B990" i="4"/>
  <c r="B998" i="4"/>
  <c r="B1006" i="4"/>
  <c r="B1014" i="4"/>
  <c r="B1018" i="4"/>
</calcChain>
</file>

<file path=xl/sharedStrings.xml><?xml version="1.0" encoding="utf-8"?>
<sst xmlns="http://schemas.openxmlformats.org/spreadsheetml/2006/main" count="3207" uniqueCount="472">
  <si>
    <t>PATH_TO_CREDENTIALS_FILE</t>
  </si>
  <si>
    <t>fetch_SUSHI_information</t>
  </si>
  <si>
    <t>test_collect_fiscal_year_usage_statistics</t>
  </si>
  <si>
    <t>StatisticsSources_fixture</t>
  </si>
  <si>
    <t>Function Name</t>
  </si>
  <si>
    <t>Node Name</t>
  </si>
  <si>
    <t>Cluster</t>
  </si>
  <si>
    <t>cluster_PATH_TO_CREDENTIALS_FILE</t>
  </si>
  <si>
    <t>cluster_fiscalYear</t>
  </si>
  <si>
    <t>calculate_depreciated_ACRL_60b</t>
  </si>
  <si>
    <t>calculate_depreciated_ACRL_63</t>
  </si>
  <si>
    <t>calculate_ACRL_61a</t>
  </si>
  <si>
    <t>calculate_ACRL_61b</t>
  </si>
  <si>
    <t>calculate_ARL_18</t>
  </si>
  <si>
    <t>calculate_ARL_19</t>
  </si>
  <si>
    <t>calculate_ARL_20</t>
  </si>
  <si>
    <t>create_usage_tracking_records_for_fiscal_year</t>
  </si>
  <si>
    <t>collect_fiscal_year_usage_statistics</t>
  </si>
  <si>
    <t>cluster_annualStatistics</t>
  </si>
  <si>
    <t>state_data_types_in_annualStatistics</t>
  </si>
  <si>
    <t>state_data_types</t>
  </si>
  <si>
    <t>add_annual_statistic_value</t>
  </si>
  <si>
    <t>cluster_vendors</t>
  </si>
  <si>
    <t>state_data_types_in_vendors</t>
  </si>
  <si>
    <t>get_statisticsSources_records</t>
  </si>
  <si>
    <t>get_resourceSources_records</t>
  </si>
  <si>
    <t>add_note_in_vendors</t>
  </si>
  <si>
    <t>add_note</t>
  </si>
  <si>
    <t>cluster_vendorNotes</t>
  </si>
  <si>
    <t>state_data_types_in_vendorNotes</t>
  </si>
  <si>
    <t>cluster_statisticsSources</t>
  </si>
  <si>
    <t>state_data_types_in_statisticsSources</t>
  </si>
  <si>
    <t>_harvest_R5_SUSHI</t>
  </si>
  <si>
    <t>_harvest_single_report</t>
  </si>
  <si>
    <t>_check_if_data_in_database</t>
  </si>
  <si>
    <t>collect_usage_statistics</t>
  </si>
  <si>
    <t>add_note_in_statisticsSources</t>
  </si>
  <si>
    <t>cluster_statisticsSourceNotes</t>
  </si>
  <si>
    <t>state_data_types_in_statisticsSourceNotes</t>
  </si>
  <si>
    <t>cluster_resourceSources</t>
  </si>
  <si>
    <t>state_data_types_in_resourceSources</t>
  </si>
  <si>
    <t>add_access_stop_date</t>
  </si>
  <si>
    <t>remove_access_stop_date</t>
  </si>
  <si>
    <t>change_StatisticsSource</t>
  </si>
  <si>
    <t>add_note_in_resourceSources</t>
  </si>
  <si>
    <t>cluster_resourceSourceNotes</t>
  </si>
  <si>
    <t>state_data_types_in_resourceSourceNotes</t>
  </si>
  <si>
    <t>cluster_statisticsResourceSources</t>
  </si>
  <si>
    <t>state_data_types_in_statisticsResourceSources</t>
  </si>
  <si>
    <t>cluster_annualUsageCollectionTracking</t>
  </si>
  <si>
    <t>state_data_types_in_annualUsageCollectionTracking</t>
  </si>
  <si>
    <t>collect_annual_usage_statistics</t>
  </si>
  <si>
    <t>upload_nonstandard_usage_file</t>
  </si>
  <si>
    <t>download_nonstandard_usage_file</t>
  </si>
  <si>
    <t>cluster_COUNTERData</t>
  </si>
  <si>
    <t>state_data_types_in_COUNTERData</t>
  </si>
  <si>
    <t>cluster_SUSHICallAndResponse</t>
  </si>
  <si>
    <t>make_SUSHI_call</t>
  </si>
  <si>
    <t>_make_API_call</t>
  </si>
  <si>
    <t>_convert_Response_to_JSON</t>
  </si>
  <si>
    <t>_save_raw_Response_text</t>
  </si>
  <si>
    <t>_handle_SUSHI_exceptions</t>
  </si>
  <si>
    <t>_evaluate_individual_SUSHI_exception</t>
  </si>
  <si>
    <t>_stdout_API_response_based_on_size</t>
  </si>
  <si>
    <t>cluster_UploadCOUNTERReports</t>
  </si>
  <si>
    <t>create_dataframe_in_UploadCOUNTERReports</t>
  </si>
  <si>
    <t>create_dataframe</t>
  </si>
  <si>
    <t>cluster_ConvertJSONDictToDataframe</t>
  </si>
  <si>
    <t>create_dataframe_in_ConvertJSONDictToDataframe</t>
  </si>
  <si>
    <t>_transform_R5_JSON</t>
  </si>
  <si>
    <t>_transform_R5b1_JSON</t>
  </si>
  <si>
    <t>_serialize_dates</t>
  </si>
  <si>
    <t>cluster_annual_stats</t>
  </si>
  <si>
    <t>annual_stats_homepage</t>
  </si>
  <si>
    <t>show_fiscal_year_details</t>
  </si>
  <si>
    <t>cluster_ingest_usage</t>
  </si>
  <si>
    <t>ingest_usage_homepage</t>
  </si>
  <si>
    <t>upload_COUNTER_data</t>
  </si>
  <si>
    <t>harvest_SUSHI_statistics</t>
  </si>
  <si>
    <t>upload_non_COUNTER_reports</t>
  </si>
  <si>
    <t>cluster_initialization</t>
  </si>
  <si>
    <t>collect_FY_and_vendor_data</t>
  </si>
  <si>
    <t>collect_sources_data</t>
  </si>
  <si>
    <t>collect_AUCT_and_historical_COUNTER_data</t>
  </si>
  <si>
    <t>upload_historical_non_COUNTER_usage</t>
  </si>
  <si>
    <t>data_load_complete</t>
  </si>
  <si>
    <t>cluster_login</t>
  </si>
  <si>
    <t>login_homepage</t>
  </si>
  <si>
    <t>cluster_view_lists</t>
  </si>
  <si>
    <t>view_lists_homepage</t>
  </si>
  <si>
    <t>view_list_record</t>
  </si>
  <si>
    <t>edit_list_record</t>
  </si>
  <si>
    <t>cluster_view_usage</t>
  </si>
  <si>
    <t>create_COUNTER_fixed_vocab_list</t>
  </si>
  <si>
    <t>set_encoding</t>
  </si>
  <si>
    <t>create_downloads_folder</t>
  </si>
  <si>
    <t>view_usage_homepage</t>
  </si>
  <si>
    <t>run_custom_SQL_query</t>
  </si>
  <si>
    <t>use_predefined_SQL_query</t>
  </si>
  <si>
    <t>start_query_wizard</t>
  </si>
  <si>
    <t>query_wizard_sort_redirect</t>
  </si>
  <si>
    <t>construct_PR_query_with_wizard</t>
  </si>
  <si>
    <t>construct_DR_query_with_wizard</t>
  </si>
  <si>
    <t>construct_TR_query_with_wizard</t>
  </si>
  <si>
    <t>construct_IR_query_with_wizard</t>
  </si>
  <si>
    <t>download_non_COUNTER_usage</t>
  </si>
  <si>
    <t>cluster_app</t>
  </si>
  <si>
    <t>filter_empty_parentheses</t>
  </si>
  <si>
    <t>configure_logging</t>
  </si>
  <si>
    <t>page_not_found</t>
  </si>
  <si>
    <t>internal_server_error</t>
  </si>
  <si>
    <t>create_app</t>
  </si>
  <si>
    <t>"create_app.create_db"</t>
  </si>
  <si>
    <t>"create_app.homepage"</t>
  </si>
  <si>
    <t>"create_app.download_file"</t>
  </si>
  <si>
    <t>last_day_of_month</t>
  </si>
  <si>
    <t>first_new_PK_value</t>
  </si>
  <si>
    <t>return_string_of_dataframe_info</t>
  </si>
  <si>
    <t>change_single_field_dataframe_into_series</t>
  </si>
  <si>
    <t>restore_boolean_values_to_boolean_field</t>
  </si>
  <si>
    <t>upload_file_to_S3_bucket</t>
  </si>
  <si>
    <t>create_AUCT_SelectField_options</t>
  </si>
  <si>
    <t>load_data_into_database</t>
  </si>
  <si>
    <t>query_database</t>
  </si>
  <si>
    <t>check_if_data_already_in_COUNTERData</t>
  </si>
  <si>
    <t>truncate_longer_lines</t>
  </si>
  <si>
    <t>update_database</t>
  </si>
  <si>
    <t>save_unconverted_data_via_upload</t>
  </si>
  <si>
    <t>ISSN_regex</t>
  </si>
  <si>
    <t>ISBN_regex</t>
  </si>
  <si>
    <t>extract_value_from_single_value_df</t>
  </si>
  <si>
    <t>AWS_timestamp_format</t>
  </si>
  <si>
    <t>non_COUNTER_file_name_regex</t>
  </si>
  <si>
    <t>empty_string_regex</t>
  </si>
  <si>
    <t>cluster_statements</t>
  </si>
  <si>
    <t>file_extensions_and_mimetypes</t>
  </si>
  <si>
    <t>format_list_for_stdout</t>
  </si>
  <si>
    <t>remove_IDE_spacing_from_statement</t>
  </si>
  <si>
    <t>initialize_relation_class_object_statement</t>
  </si>
  <si>
    <t>fixture_variable_value_declaration_statement</t>
  </si>
  <si>
    <t>unable_to_convert_SUSHI_data_to_dataframe_statement</t>
  </si>
  <si>
    <t>unable_to_get_updated_primary_key_values_statement</t>
  </si>
  <si>
    <t>Flask_error_statement</t>
  </si>
  <si>
    <t>file_IO_statement</t>
  </si>
  <si>
    <t>list_folder_contents_statement</t>
  </si>
  <si>
    <t>check_if_file_exists_statement</t>
  </si>
  <si>
    <t>failed_upload_to_S3_statement</t>
  </si>
  <si>
    <t>unable_to_delete_test_file_in_S3_statement</t>
  </si>
  <si>
    <t>upload_file_to_S3_bucket_success_regex</t>
  </si>
  <si>
    <t>upload_nonstandard_usage_file_success_regex</t>
  </si>
  <si>
    <t>return_value_from_query_statement</t>
  </si>
  <si>
    <t>return_dataframe_from_query_statement</t>
  </si>
  <si>
    <t>database_query_fail_statement</t>
  </si>
  <si>
    <t>database_update_fail_statement</t>
  </si>
  <si>
    <t>add_data_success_and_update_database_fail_statement</t>
  </si>
  <si>
    <t>database_function_skip_statements</t>
  </si>
  <si>
    <t>load_data_into_database_success_regex</t>
  </si>
  <si>
    <t>update_database_success_regex</t>
  </si>
  <si>
    <t>successful_SUSHI_call_statement</t>
  </si>
  <si>
    <t>harvest_R5_SUSHI_success_statement</t>
  </si>
  <si>
    <t>failed_SUSHI_call_statement</t>
  </si>
  <si>
    <t>no_data_returned_by_SUSHI_statement</t>
  </si>
  <si>
    <t>attempted_SUSHI_call_with_invalid_dates_statement</t>
  </si>
  <si>
    <t>reports_with_no_usage_regex</t>
  </si>
  <si>
    <t>skip_test_due_to_SUSHI_error_regex</t>
  </si>
  <si>
    <t>cluster_relations</t>
  </si>
  <si>
    <t>fiscalYears_relation_in_relations</t>
  </si>
  <si>
    <t>fiscalYears_relation</t>
  </si>
  <si>
    <t>annualStatistics_relation_in_relations</t>
  </si>
  <si>
    <t>annualStatistics_relation</t>
  </si>
  <si>
    <t>vendors_relation_in_relations</t>
  </si>
  <si>
    <t>vendorNotes_relation_in_relations</t>
  </si>
  <si>
    <t>statisticsSources_relation_in_relations</t>
  </si>
  <si>
    <t>statisticsSourceNotes_relation_in_relations</t>
  </si>
  <si>
    <t>resourceSources_relation_in_relations</t>
  </si>
  <si>
    <t>resourceSourceNotes_relation_in_relations</t>
  </si>
  <si>
    <t>statisticsResourceSources_relation_in_relations</t>
  </si>
  <si>
    <t>annualUsageCollectionTracking_relation_in_relations</t>
  </si>
  <si>
    <t>workbook_0_2017_relation_in_relations</t>
  </si>
  <si>
    <t>workbook_1_2017_relation_in_relations</t>
  </si>
  <si>
    <t>workbook_2_2017_relation_in_relations</t>
  </si>
  <si>
    <t>workbook_0_2018_relation_in_relations</t>
  </si>
  <si>
    <t>workbook_1_2018_relation_in_relations</t>
  </si>
  <si>
    <t>workbook_2_2018_relation_in_relations</t>
  </si>
  <si>
    <t>workbook_0_2019_relation_in_relations</t>
  </si>
  <si>
    <t>workbook_1_2019_relation_in_relations</t>
  </si>
  <si>
    <t>workbook_2_2019_relation_in_relations</t>
  </si>
  <si>
    <t>workbook_3_2019_relation_in_relations</t>
  </si>
  <si>
    <t>workbook_0_2020_relation_in_relations</t>
  </si>
  <si>
    <t>workbook_1_2020_relation_in_relations</t>
  </si>
  <si>
    <t>workbook_2_2020_relation_in_relations</t>
  </si>
  <si>
    <t>workbook_3_2020_relation_in_relations</t>
  </si>
  <si>
    <t>vendors_relation</t>
  </si>
  <si>
    <t>vendorNotes_relation</t>
  </si>
  <si>
    <t>statisticsSources_relation</t>
  </si>
  <si>
    <t>statisticsSourceNotes_relation</t>
  </si>
  <si>
    <t>resourceSources_relation</t>
  </si>
  <si>
    <t>resourceSourceNotes_relation</t>
  </si>
  <si>
    <t>statisticsResourceSources_relation</t>
  </si>
  <si>
    <t>annualUsageCollectionTracking_relation</t>
  </si>
  <si>
    <t>workbook_0_2017_relation</t>
  </si>
  <si>
    <t>workbook_1_2017_relation</t>
  </si>
  <si>
    <t>workbook_2_2017_relation</t>
  </si>
  <si>
    <t>workbook_0_2018_relation</t>
  </si>
  <si>
    <t>workbook_1_2018_relation</t>
  </si>
  <si>
    <t>workbook_2_2018_relation</t>
  </si>
  <si>
    <t>workbook_0_2019_relation</t>
  </si>
  <si>
    <t>workbook_1_2019_relation</t>
  </si>
  <si>
    <t>workbook_2_2019_relation</t>
  </si>
  <si>
    <t>workbook_3_2019_relation</t>
  </si>
  <si>
    <t>workbook_0_2020_relation</t>
  </si>
  <si>
    <t>workbook_1_2020_relation</t>
  </si>
  <si>
    <t>workbook_2_2020_relation</t>
  </si>
  <si>
    <t>workbook_3_2020_relation</t>
  </si>
  <si>
    <t>cluster_conftest</t>
  </si>
  <si>
    <t>engine</t>
  </si>
  <si>
    <t>app</t>
  </si>
  <si>
    <t>client</t>
  </si>
  <si>
    <t>db</t>
  </si>
  <si>
    <t>session</t>
  </si>
  <si>
    <t>fiscalYears_relation_in_conftest</t>
  </si>
  <si>
    <t>annualStatistics_relation_in_conftest</t>
  </si>
  <si>
    <t>vendors_relation_in_conftest</t>
  </si>
  <si>
    <t>vendorNotes_relation_in_conftest</t>
  </si>
  <si>
    <t>statisticsSources_relation_in_conftest</t>
  </si>
  <si>
    <t>statisticsSourceNotes_relation_in_conftest</t>
  </si>
  <si>
    <t>resourceSources_relation_in_conftest</t>
  </si>
  <si>
    <t>resourceSourceNotes_relation_in_conftest</t>
  </si>
  <si>
    <t>statisticsResourceSources_relation_in_conftest</t>
  </si>
  <si>
    <t>annualUsageCollectionTracking_relation_in_conftest</t>
  </si>
  <si>
    <t>workbook_0_2017_relation_in_conftest</t>
  </si>
  <si>
    <t>workbook_1_2017_relation_in_conftest</t>
  </si>
  <si>
    <t>workbook_2_2017_relation_in_conftest</t>
  </si>
  <si>
    <t>workbook_0_2018_relation_in_conftest</t>
  </si>
  <si>
    <t>workbook_1_2018_relation_in_conftest</t>
  </si>
  <si>
    <t>workbook_2_2018_relation_in_conftest</t>
  </si>
  <si>
    <t>workbook_0_2019_relation_in_conftest</t>
  </si>
  <si>
    <t>workbook_1_2019_relation_in_conftest</t>
  </si>
  <si>
    <t>workbook_2_2019_relation_in_conftest</t>
  </si>
  <si>
    <t>workbook_3_2019_relation_in_conftest</t>
  </si>
  <si>
    <t>workbook_0_2020_relation_in_conftest</t>
  </si>
  <si>
    <t>workbook_1_2020_relation_in_conftest</t>
  </si>
  <si>
    <t>workbook_2_2020_relation_in_conftest</t>
  </si>
  <si>
    <t>workbook_3_2020_relation_in_conftest</t>
  </si>
  <si>
    <t>workbooks_and_relations</t>
  </si>
  <si>
    <t>create_COUNTERData_workbook_iterdir_list</t>
  </si>
  <si>
    <t>COUNTERData_relation</t>
  </si>
  <si>
    <t>download_destination</t>
  </si>
  <si>
    <t>path_to_sample_file</t>
  </si>
  <si>
    <t>remove_file_from_S3</t>
  </si>
  <si>
    <t>non_COUNTER_AUCT_object_before_upload</t>
  </si>
  <si>
    <t>non_COUNTER_AUCT_object_after_upload</t>
  </si>
  <si>
    <t>non_COUNTER_file_to_download_from_S3</t>
  </si>
  <si>
    <t>header_value</t>
  </si>
  <si>
    <t>most_recent_month_with_usage</t>
  </si>
  <si>
    <t>match_direct_SUSHI_harvest_result</t>
  </si>
  <si>
    <t>COUNTER_reports_offered_by_statistics_source</t>
  </si>
  <si>
    <t>prepare_HTML_page_for_comparison</t>
  </si>
  <si>
    <t>cluster_test_AnnualStatistics</t>
  </si>
  <si>
    <t>test_add_annual_statistic_value</t>
  </si>
  <si>
    <t>cluster_test_AnnualUsageCollectionTracking</t>
  </si>
  <si>
    <t>AUCT_fixture_for_SUSHI</t>
  </si>
  <si>
    <t>harvest_R5_SUSHI_result_in_test_AnnualUsageCollectionTracking</t>
  </si>
  <si>
    <t>harvest_R5_SUSHI_result</t>
  </si>
  <si>
    <t>test_collect_annual_usage_statistics</t>
  </si>
  <si>
    <t>sample_FileStorage_object</t>
  </si>
  <si>
    <t>test_upload_nonstandard_usage_file</t>
  </si>
  <si>
    <t>test_download_nonstandard_usage_file</t>
  </si>
  <si>
    <t>cluster_test_app</t>
  </si>
  <si>
    <t>test_flask_app_creation</t>
  </si>
  <si>
    <t>test_flask_client_creation</t>
  </si>
  <si>
    <t>test_SQLAlchemy_engine_creation</t>
  </si>
  <si>
    <t>test_homepage</t>
  </si>
  <si>
    <t>test_404_page</t>
  </si>
  <si>
    <t>test_load_data_into_database</t>
  </si>
  <si>
    <t>test_query_database</t>
  </si>
  <si>
    <t>test_loading_connected_data_into_other_relation</t>
  </si>
  <si>
    <t>test_download_file</t>
  </si>
  <si>
    <t>test_first_new_PK_value</t>
  </si>
  <si>
    <t>test_change_single_field_dataframe_into_series</t>
  </si>
  <si>
    <t>test_restore_boolean_values_to_boolean_field</t>
  </si>
  <si>
    <t>test_upload_file_to_S3_bucket</t>
  </si>
  <si>
    <t>test_create_AUCT_SelectField_options</t>
  </si>
  <si>
    <t>test_truncate_longer_lines</t>
  </si>
  <si>
    <t>vendors_relation_after_test_update_database</t>
  </si>
  <si>
    <t>test_update_database</t>
  </si>
  <si>
    <t>vendors_relation_after_test_update_database_with_insert_statement</t>
  </si>
  <si>
    <t>test_update_database_with_insert_statement</t>
  </si>
  <si>
    <t>test_prepare_HTML_page_for_comparison</t>
  </si>
  <si>
    <t>file_name_stem_and_data</t>
  </si>
  <si>
    <t>test_save_unconverted_data_via_upload</t>
  </si>
  <si>
    <t>test_ISSN_regex</t>
  </si>
  <si>
    <t>test_ISBN_regex</t>
  </si>
  <si>
    <t>test_last_day_of_month</t>
  </si>
  <si>
    <t>test_extract_value_from_single_value_df</t>
  </si>
  <si>
    <t>test_AWS_timestamp_format</t>
  </si>
  <si>
    <t>test_non_COUNTER_file_name_regex</t>
  </si>
  <si>
    <t>test_empty_string_regex</t>
  </si>
  <si>
    <t>cluster_test_bp_annual_stats</t>
  </si>
  <si>
    <t>test_GET_request_for_annual_stats_homepage</t>
  </si>
  <si>
    <t>test_GET_request_for_show_fiscal_year_details</t>
  </si>
  <si>
    <t>test_show_fiscal_year_details_submitting_RunAnnualStatsMethodsForm</t>
  </si>
  <si>
    <t>test_show_fiscal_year_details_submitting_EditFiscalYearForm</t>
  </si>
  <si>
    <t>test_show_fiscal_year_details_submitting_EditAUCTForm</t>
  </si>
  <si>
    <t>cluster_test_bp_ingest_usage</t>
  </si>
  <si>
    <t>test_ingest_usage_homepage</t>
  </si>
  <si>
    <t>test_upload_COUNTER_data_via_Excel</t>
  </si>
  <si>
    <t>test_upload_COUNTER_data_via_SQL_insert</t>
  </si>
  <si>
    <t>test_match_direct_SUSHI_harvest_result</t>
  </si>
  <si>
    <t>test_GET_request_for_harvest_SUSHI_statistics</t>
  </si>
  <si>
    <t>test_harvest_SUSHI_statistics</t>
  </si>
  <si>
    <t>test_GET_request_for_upload_non_COUNTER_reports</t>
  </si>
  <si>
    <t>test_upload_non_COUNTER_reports</t>
  </si>
  <si>
    <t>cluster_test_bp_initialization</t>
  </si>
  <si>
    <t>blank_annualUsageCollectionTracking_data_types</t>
  </si>
  <si>
    <t>create_fiscalYears_CSV_file</t>
  </si>
  <si>
    <t>create_annualStatistics_CSV_file</t>
  </si>
  <si>
    <t>create_vendors_CSV_file</t>
  </si>
  <si>
    <t>create_vendorNotes_CSV_file</t>
  </si>
  <si>
    <t>create_statisticsSources_CSV_file</t>
  </si>
  <si>
    <t>create_statisticsSourceNotes_CSV_file</t>
  </si>
  <si>
    <t>create_resourceSources_CSV_file</t>
  </si>
  <si>
    <t>create_resourceSourceNotes_CSV_file</t>
  </si>
  <si>
    <t>create_statisticsResourceSources_CSV_file</t>
  </si>
  <si>
    <t>create_blank_annualUsageCollectionTracking_CSV_file</t>
  </si>
  <si>
    <t>create_annualUsageCollectionTracking_CSV_file</t>
  </si>
  <si>
    <t>test_GET_request_for_collect_FY_and_vendor_data</t>
  </si>
  <si>
    <t>test_collect_FY_and_vendor_data</t>
  </si>
  <si>
    <t>test_collect_sources_data</t>
  </si>
  <si>
    <t>test_GET_request_for_collect_AUCT_and_historical_COUNTER_data</t>
  </si>
  <si>
    <t>test_collect_AUCT_and_historical_COUNTER_data</t>
  </si>
  <si>
    <t>test_GET_request_for_upload_historical_non_COUNTER_usage</t>
  </si>
  <si>
    <t>files_for_test_upload_historical_non_COUNTER_usage</t>
  </si>
  <si>
    <t>"files_for_test_upload_historical_non_COUNTER_usage._files_for_test_upload_historical_non_COUNTER_usage"</t>
  </si>
  <si>
    <t>test_upload_historical_non_COUNTER_usage</t>
  </si>
  <si>
    <t>cluster_test_bp_login</t>
  </si>
  <si>
    <t>test_login_homepage</t>
  </si>
  <si>
    <t>test_logging_in</t>
  </si>
  <si>
    <t>test_logging_in_as_admin</t>
  </si>
  <si>
    <t>test_creating_an_account</t>
  </si>
  <si>
    <t>cluster_test_bp_view_lists</t>
  </si>
  <si>
    <t>test_view_lists_homepage</t>
  </si>
  <si>
    <t>test_GET_request_for_view_list_record</t>
  </si>
  <si>
    <t>test_view_list_record</t>
  </si>
  <si>
    <t>test_GET_request_for_edit_list_record_for_existing_record</t>
  </si>
  <si>
    <t>test_GET_request_for_edit_list_record_for_new_record</t>
  </si>
  <si>
    <t>test_edit_list_record</t>
  </si>
  <si>
    <t>cluster_test_bp_view_usage</t>
  </si>
  <si>
    <t>COUNTER_download_CSV</t>
  </si>
  <si>
    <t>test_create_COUNTER_fixed_vocab_list</t>
  </si>
  <si>
    <t>test_set_encoding</t>
  </si>
  <si>
    <t>test_view_usage_homepage</t>
  </si>
  <si>
    <t>test_run_custom_SQL_query</t>
  </si>
  <si>
    <t>test_use_predefined_SQL_query</t>
  </si>
  <si>
    <t>start_query_wizard_form_data</t>
  </si>
  <si>
    <t>test_start_query_wizard</t>
  </si>
  <si>
    <t>test_GET_query_wizard_sort_redirect</t>
  </si>
  <si>
    <t>PR_parameters</t>
  </si>
  <si>
    <t>test_construct_PR_query_with_wizard</t>
  </si>
  <si>
    <t>DR_parameters</t>
  </si>
  <si>
    <t>test_construct_DR_query_with_wizard</t>
  </si>
  <si>
    <t>TR_parameters</t>
  </si>
  <si>
    <t>test_construct_TR_query_with_wizard</t>
  </si>
  <si>
    <t>IR_parameters</t>
  </si>
  <si>
    <t>test_construct_IR_query_with_wizard</t>
  </si>
  <si>
    <t>construct_PR_query_with_wizard_without_string_match</t>
  </si>
  <si>
    <t>test_GET_request_for_download_non_COUNTER_usage</t>
  </si>
  <si>
    <t>test_download_non_COUNTER_usage</t>
  </si>
  <si>
    <t>cluster_test_ConvertJSONDictToDataframe</t>
  </si>
  <si>
    <t>sample_SUSHI_PR_response_R5_JSON_dict</t>
  </si>
  <si>
    <t>sample_SUSHI_PR_response_R5_dataframe</t>
  </si>
  <si>
    <t>sample_SUSHI_DR_response_R5_JSON_dict</t>
  </si>
  <si>
    <t>sample_SUSHI_DR_response_R5_dataframe</t>
  </si>
  <si>
    <t>sample_SUSHI_TR_response_R5_JSON_dict</t>
  </si>
  <si>
    <t>sample_SUSHI_TR_response_R5_dataframe</t>
  </si>
  <si>
    <t>sample_SUSHI_IR_response_R5_JSON_dict</t>
  </si>
  <si>
    <t>sample_SUSHI_IR_response_R5_dataframe</t>
  </si>
  <si>
    <t>sample_SUSHI_PR_response_R5b1_JSON_dict</t>
  </si>
  <si>
    <t>sample_SUSHI_PR_response_R5b1_dataframe</t>
  </si>
  <si>
    <t>sample_SUSHI_DR_response_R5b1_JSON_dict</t>
  </si>
  <si>
    <t>sample_SUSHI_DR_response_R5b1_dataframe</t>
  </si>
  <si>
    <t>sample_SUSHI_TR_response_R5b1_JSON_dict</t>
  </si>
  <si>
    <t>sample_SUSHI_TR_response_R5b1_dataframe</t>
  </si>
  <si>
    <t>sample_SUSHI_IR_response_R5b1_JSON_dict</t>
  </si>
  <si>
    <t>sample_SUSHI_IR_response_R5b1_dataframe</t>
  </si>
  <si>
    <t>test_create_dataframe_from_R5_PR</t>
  </si>
  <si>
    <t>test_create_dataframe_from_R5_DR</t>
  </si>
  <si>
    <t>test_create_dataframe_from_R5_TR</t>
  </si>
  <si>
    <t>test_create_dataframe_from_R5_IR</t>
  </si>
  <si>
    <t>test_create_dataframe_from_R5b1_PR</t>
  </si>
  <si>
    <t>test_create_dataframe_from_R5b1_DR</t>
  </si>
  <si>
    <t>test_create_dataframe_from_R5b1_TR</t>
  </si>
  <si>
    <t>test_create_dataframe_from_R5b1_IR</t>
  </si>
  <si>
    <t>cluster_test_FiscalYears</t>
  </si>
  <si>
    <t>FY2020_FiscalYears_object</t>
  </si>
  <si>
    <t>test_calculate_depreciated_ACRL_60b</t>
  </si>
  <si>
    <t>test_calculate_depreciated_ACRL_63</t>
  </si>
  <si>
    <t>test_calculate_ACRL_61a</t>
  </si>
  <si>
    <t>test_calculate_ACRL_61b</t>
  </si>
  <si>
    <t>test_calculate_ARL_18</t>
  </si>
  <si>
    <t>test_calculate_ARL_19</t>
  </si>
  <si>
    <t>test_calculate_ARL_20</t>
  </si>
  <si>
    <t>FY2023_FiscalYears_object_and_record</t>
  </si>
  <si>
    <t>load_new_record_into_fiscalYears</t>
  </si>
  <si>
    <t>test_create_usage_tracking_records_for_fiscal_year</t>
  </si>
  <si>
    <t>FY2022_FiscalYears_object</t>
  </si>
  <si>
    <t>cluster_test_ResourceSources</t>
  </si>
  <si>
    <t>test_add_access_stop_date</t>
  </si>
  <si>
    <t>test_remove_access_stop_date</t>
  </si>
  <si>
    <t>test_change_StatisticsSource</t>
  </si>
  <si>
    <t>test_add_note_in_test_ResourceSources</t>
  </si>
  <si>
    <t>cluster_test_statements</t>
  </si>
  <si>
    <t>test_format_list_for_stdout_with_list</t>
  </si>
  <si>
    <t>test_format_list_for_stdout_with_generator</t>
  </si>
  <si>
    <t>test_remove_IDE_spacing_from_statement</t>
  </si>
  <si>
    <t>cluster_test_StatisticsSources</t>
  </si>
  <si>
    <t>current_month_like_most_recent_month_with_usage</t>
  </si>
  <si>
    <t>test_fetch_SUSHI_information_for_API</t>
  </si>
  <si>
    <t>test_fetch_SUSHI_information_for_display</t>
  </si>
  <si>
    <t>SUSHI_credentials_fixture_in_test_StatisticsSources</t>
  </si>
  <si>
    <t>reports_offered_by_StatisticsSource_fixture</t>
  </si>
  <si>
    <t>test_COUNTER_reports_offered_by_statistics_source</t>
  </si>
  <si>
    <t>test_check_if_data_in_database_no</t>
  </si>
  <si>
    <t>test_check_if_data_in_database_yes</t>
  </si>
  <si>
    <t>test_harvest_single_report</t>
  </si>
  <si>
    <t>test_harvest_single_report_with_partial_date_range</t>
  </si>
  <si>
    <t>test_harvest_R5_SUSHI</t>
  </si>
  <si>
    <t>test_harvest_R5_SUSHI_with_report_to_harvest</t>
  </si>
  <si>
    <t>test_harvest_R5_SUSHI_with_invalid_dates</t>
  </si>
  <si>
    <t>month_before_month_like_most_recent_month_with_usage</t>
  </si>
  <si>
    <t>harvest_R5_SUSHI_result_in_test_StatisticsSources</t>
  </si>
  <si>
    <t>test_collect_usage_statistics</t>
  </si>
  <si>
    <t>test_add_note_in_test_StatisticsSources</t>
  </si>
  <si>
    <t>partially_duplicate_COUNTER_data</t>
  </si>
  <si>
    <t>non_duplicate_COUNTER_data</t>
  </si>
  <si>
    <t>test_check_if_data_already_in_COUNTERData</t>
  </si>
  <si>
    <t>cluster_test_SUSHICallAndResponse</t>
  </si>
  <si>
    <t>SUSHI_credentials_fixture_in_test_SUSHICallAndResponse</t>
  </si>
  <si>
    <t>SUSHI_credentials_fixture</t>
  </si>
  <si>
    <t>StatisticsSource_instance_name</t>
  </si>
  <si>
    <t>test_status_call</t>
  </si>
  <si>
    <t>test_status_call_validity</t>
  </si>
  <si>
    <t>test_reports_call</t>
  </si>
  <si>
    <t>test_reports_call_validity</t>
  </si>
  <si>
    <t>list_of_reports</t>
  </si>
  <si>
    <t>test_PR_call_validity</t>
  </si>
  <si>
    <t>test_DR_call_validity</t>
  </si>
  <si>
    <t>test_TR_call_validity</t>
  </si>
  <si>
    <t>test_IR_call_validity</t>
  </si>
  <si>
    <t>test_call_with_invalid_credentials</t>
  </si>
  <si>
    <t>cluster_test_UploadCOUNTERReports</t>
  </si>
  <si>
    <t>sample_COUNTER_report_workbook</t>
  </si>
  <si>
    <t>test_create_dataframe_from_single_workbook</t>
  </si>
  <si>
    <t>sample_COUNTER_report_workbooks</t>
  </si>
  <si>
    <t>test_create_dataframe</t>
  </si>
  <si>
    <t>cluster_test_Vendors</t>
  </si>
  <si>
    <t>test_get_statisticsSources_records</t>
  </si>
  <si>
    <t>test_get_resourceSources_records</t>
  </si>
  <si>
    <t>test_add_note_in_test_Vendors</t>
  </si>
  <si>
    <t>test_add_note</t>
  </si>
  <si>
    <t>Order Within Cluster</t>
  </si>
  <si>
    <t>Calling Node</t>
  </si>
  <si>
    <t>state_data_types_in_FiscalYears</t>
  </si>
  <si>
    <t>Order of Cluster</t>
  </si>
  <si>
    <t>Calling Node Cluster Order</t>
  </si>
  <si>
    <t>Calling Node Order in Cluster</t>
  </si>
  <si>
    <t>Called Node</t>
  </si>
  <si>
    <t>Called Node Cluster Order</t>
  </si>
  <si>
    <t>Called Node Order in Cluster</t>
  </si>
  <si>
    <t>Calling Node Function Name</t>
  </si>
  <si>
    <t>Called Node Function Name</t>
  </si>
  <si>
    <t>DOT Relationship Statement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</si>
</sst>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11">
    <dxf>
      <font>
        <color rgb="FF9C0006"/>
      </font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C00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3C67C64-247C-4E25-BCFB-F67AF5C5BB31}" name="Table1" displayName="Table1" ref="A1:I1020" totalsRowShown="0">
  <autoFilter ref="A1:I1020" xr:uid="{43C67C64-247C-4E25-BCFB-F67AF5C5BB31}"/>
  <sortState xmlns:xlrd2="http://schemas.microsoft.com/office/spreadsheetml/2017/richdata2" ref="A2:I1020">
    <sortCondition ref="F2:F1020"/>
    <sortCondition ref="G2:G1020"/>
    <sortCondition ref="H2:H1020"/>
    <sortCondition ref="I2:I1020"/>
  </sortState>
  <tableColumns count="9">
    <tableColumn id="1" xr3:uid="{199D67A6-7C44-49BF-8BBA-451758DFA804}" name="Calling Node"/>
    <tableColumn id="2" xr3:uid="{F1D60000-3F11-4076-B9D9-153BC10ABCEC}" name="Calling Node Function Name" dataDxfId="10">
      <calculatedColumnFormula>VLOOKUP(Table1[[#This Row],[Calling Node]],Nodes!A:B,2,0)</calculatedColumnFormula>
    </tableColumn>
    <tableColumn id="4" xr3:uid="{97FBD1F9-5DE6-4E96-A951-7C30D0AE0018}" name="Called Node"/>
    <tableColumn id="5" xr3:uid="{FECBD450-0B80-4026-A14A-28D28D2F9361}" name="Called Node Function Name" dataDxfId="9">
      <calculatedColumnFormula>VLOOKUP(Table1[[#This Row],[Called Node]],Nodes!A:B,2,0)</calculatedColumnFormula>
    </tableColumn>
    <tableColumn id="11" xr3:uid="{4546D65C-3BA8-40AF-A9A5-BAB107B1D382}" name="DOT Relationship Statement" dataDxfId="8">
      <calculatedColumnFormula>Table1[[#This Row],[Calling Node]]&amp;" -&gt; "&amp;Table1[[#This Row],[Called Node]]</calculatedColumnFormula>
    </tableColumn>
    <tableColumn id="7" xr3:uid="{5E978FDA-1CCE-42C9-8EE2-F0A049EAF7C3}" name="Calling Node Cluster Order" dataDxfId="7">
      <calculatedColumnFormula>VLOOKUP(Table1[[#This Row],[Calling Node]],Nodes!A:D,4,0)</calculatedColumnFormula>
    </tableColumn>
    <tableColumn id="8" xr3:uid="{E5A5B605-20CE-431A-BA9F-8B6CB9F65597}" name="Calling Node Order in Cluster" dataDxfId="6">
      <calculatedColumnFormula>VLOOKUP(Table1[[#This Row],[Calling Node]],Nodes!A:E,5,0)</calculatedColumnFormula>
    </tableColumn>
    <tableColumn id="9" xr3:uid="{57AF5AFE-C205-4E0B-9854-63A3ADA53A9E}" name="Called Node Cluster Order" dataDxfId="5">
      <calculatedColumnFormula>VLOOKUP(Table1[[#This Row],[Called Node]],Nodes!A:D,4,0)</calculatedColumnFormula>
    </tableColumn>
    <tableColumn id="10" xr3:uid="{133FE4BB-F196-4A43-9F25-B8A54B50591C}" name="Called Node Order in Cluster" dataDxfId="4">
      <calculatedColumnFormula>VLOOKUP(Table1[[#This Row],[Called Node]],Nodes!A:E,5,0)</calculatedColumnFormula>
    </tableColumn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1A6869D-4B7A-4FAA-A02E-10A2F1466D47}" name="Table2" displayName="Table2" ref="A1:E386" totalsRowShown="0" headerRowDxfId="3">
  <autoFilter ref="A1:E386" xr:uid="{A6211418-BCE9-480F-9AC5-9CD507C26481}"/>
  <tableColumns count="5">
    <tableColumn id="1" xr3:uid="{69CD15C3-5B02-4859-BD05-680C3DBFC908}" name="Node Name"/>
    <tableColumn id="2" xr3:uid="{3B8ECDB6-A578-4E02-AC3C-7452D338C2BE}" name="Function Name"/>
    <tableColumn id="3" xr3:uid="{D3E5C4D2-15D2-41F6-B02F-14A3A95B3654}" name="Cluster"/>
    <tableColumn id="5" xr3:uid="{2C780A7D-9B8A-4E0C-B247-5FC43C4D8997}" name="Order of Cluster" dataDxfId="2"/>
    <tableColumn id="4" xr3:uid="{C97D9CDF-DBD9-426B-97D0-179A8305BFF1}" name="Order Within Cluster" dataDxfId="1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B80D1-5A72-499D-AE4C-D627C79ED42E}">
  <dimension ref="A1:I1020"/>
  <sheetViews>
    <sheetView tabSelected="1" topLeftCell="B989" workbookViewId="0">
      <selection activeCell="F996" sqref="F996"/>
    </sheetView>
  </sheetViews>
  <sheetFormatPr defaultRowHeight="14.4" x14ac:dyDescent="0.3"/>
  <cols>
    <col min="1" max="1" width="13.77734375" bestFit="1" customWidth="1"/>
    <col min="2" max="2" width="27" bestFit="1" customWidth="1"/>
    <col min="3" max="3" width="13.44140625" bestFit="1" customWidth="1"/>
    <col min="4" max="4" width="26.6640625" bestFit="1" customWidth="1"/>
    <col min="5" max="5" width="26.88671875" bestFit="1" customWidth="1"/>
    <col min="6" max="6" width="25.5546875" bestFit="1" customWidth="1"/>
    <col min="7" max="7" width="27.44140625" bestFit="1" customWidth="1"/>
    <col min="8" max="8" width="25.21875" bestFit="1" customWidth="1"/>
    <col min="9" max="9" width="27.109375" bestFit="1" customWidth="1"/>
  </cols>
  <sheetData>
    <row r="1" spans="1:9" x14ac:dyDescent="0.3">
      <c r="A1" t="s">
        <v>461</v>
      </c>
      <c r="B1" t="s">
        <v>469</v>
      </c>
      <c r="C1" t="s">
        <v>466</v>
      </c>
      <c r="D1" t="s">
        <v>470</v>
      </c>
      <c r="E1" t="s">
        <v>471</v>
      </c>
      <c r="F1" t="s">
        <v>464</v>
      </c>
      <c r="G1" t="s">
        <v>465</v>
      </c>
      <c r="H1" t="s">
        <v>467</v>
      </c>
      <c r="I1" t="s">
        <v>468</v>
      </c>
    </row>
    <row r="2" spans="1:9" x14ac:dyDescent="0.3">
      <c r="A2" t="s">
        <v>0</v>
      </c>
      <c r="B2" t="str">
        <f>VLOOKUP(Table1[[#This Row],[Calling Node]],Nodes!A:B,2,0)</f>
        <v>PATH_TO_CREDENTIALS_FILE</v>
      </c>
      <c r="C2" t="s">
        <v>145</v>
      </c>
      <c r="D2" t="str">
        <f>VLOOKUP(Table1[[#This Row],[Called Node]],Nodes!A:B,2,0)</f>
        <v>check_if_file_exists_statement</v>
      </c>
      <c r="E2" s="3" t="str">
        <f>Table1[[#This Row],[Calling Node]]&amp;" -&gt; "&amp;Table1[[#This Row],[Called Node]]</f>
        <v>PATH_TO_CREDENTIALS_FILE -&gt; check_if_file_exists_statement</v>
      </c>
      <c r="F2">
        <f>VLOOKUP(Table1[[#This Row],[Calling Node]],Nodes!A:D,4,0)</f>
        <v>1</v>
      </c>
      <c r="G2">
        <f>VLOOKUP(Table1[[#This Row],[Calling Node]],Nodes!A:E,5,0)</f>
        <v>1</v>
      </c>
      <c r="H2">
        <f>VLOOKUP(Table1[[#This Row],[Called Node]],Nodes!A:D,4,0)</f>
        <v>23</v>
      </c>
      <c r="I2">
        <f>VLOOKUP(Table1[[#This Row],[Called Node]],Nodes!A:E,5,0)</f>
        <v>11</v>
      </c>
    </row>
    <row r="3" spans="1:9" x14ac:dyDescent="0.3">
      <c r="A3" t="s">
        <v>9</v>
      </c>
      <c r="B3" t="str">
        <f>VLOOKUP(Table1[[#This Row],[Calling Node]],Nodes!A:B,2,0)</f>
        <v>calculate_depreciated_ACRL_60b</v>
      </c>
      <c r="C3" t="s">
        <v>123</v>
      </c>
      <c r="D3" t="str">
        <f>VLOOKUP(Table1[[#This Row],[Called Node]],Nodes!A:B,2,0)</f>
        <v>query_database</v>
      </c>
      <c r="E3" s="3" t="str">
        <f>Table1[[#This Row],[Calling Node]]&amp;" -&gt; "&amp;Table1[[#This Row],[Called Node]]</f>
        <v>calculate_depreciated_ACRL_60b -&gt; query_database</v>
      </c>
      <c r="F3">
        <f>VLOOKUP(Table1[[#This Row],[Calling Node]],Nodes!A:D,4,0)</f>
        <v>2</v>
      </c>
      <c r="G3">
        <f>VLOOKUP(Table1[[#This Row],[Calling Node]],Nodes!A:E,5,0)</f>
        <v>2</v>
      </c>
      <c r="H3">
        <f>VLOOKUP(Table1[[#This Row],[Called Node]],Nodes!A:D,4,0)</f>
        <v>22</v>
      </c>
      <c r="I3">
        <f>VLOOKUP(Table1[[#This Row],[Called Node]],Nodes!A:E,5,0)</f>
        <v>17</v>
      </c>
    </row>
    <row r="4" spans="1:9" x14ac:dyDescent="0.3">
      <c r="A4" t="s">
        <v>9</v>
      </c>
      <c r="B4" t="str">
        <f>VLOOKUP(Table1[[#This Row],[Calling Node]],Nodes!A:B,2,0)</f>
        <v>calculate_depreciated_ACRL_60b</v>
      </c>
      <c r="C4" t="s">
        <v>130</v>
      </c>
      <c r="D4" t="str">
        <f>VLOOKUP(Table1[[#This Row],[Called Node]],Nodes!A:B,2,0)</f>
        <v>extract_value_from_single_value_df</v>
      </c>
      <c r="E4" s="3" t="str">
        <f>Table1[[#This Row],[Calling Node]]&amp;" -&gt; "&amp;Table1[[#This Row],[Called Node]]</f>
        <v>calculate_depreciated_ACRL_60b -&gt; extract_value_from_single_value_df</v>
      </c>
      <c r="F4">
        <f>VLOOKUP(Table1[[#This Row],[Calling Node]],Nodes!A:D,4,0)</f>
        <v>2</v>
      </c>
      <c r="G4">
        <f>VLOOKUP(Table1[[#This Row],[Calling Node]],Nodes!A:E,5,0)</f>
        <v>2</v>
      </c>
      <c r="H4">
        <f>VLOOKUP(Table1[[#This Row],[Called Node]],Nodes!A:D,4,0)</f>
        <v>22</v>
      </c>
      <c r="I4">
        <f>VLOOKUP(Table1[[#This Row],[Called Node]],Nodes!A:E,5,0)</f>
        <v>24</v>
      </c>
    </row>
    <row r="5" spans="1:9" x14ac:dyDescent="0.3">
      <c r="A5" t="s">
        <v>9</v>
      </c>
      <c r="B5" t="str">
        <f>VLOOKUP(Table1[[#This Row],[Calling Node]],Nodes!A:B,2,0)</f>
        <v>calculate_depreciated_ACRL_60b</v>
      </c>
      <c r="C5" t="s">
        <v>150</v>
      </c>
      <c r="D5" t="str">
        <f>VLOOKUP(Table1[[#This Row],[Called Node]],Nodes!A:B,2,0)</f>
        <v>return_value_from_query_statement</v>
      </c>
      <c r="E5" s="3" t="str">
        <f>Table1[[#This Row],[Calling Node]]&amp;" -&gt; "&amp;Table1[[#This Row],[Called Node]]</f>
        <v>calculate_depreciated_ACRL_60b -&gt; return_value_from_query_statement</v>
      </c>
      <c r="F5">
        <f>VLOOKUP(Table1[[#This Row],[Calling Node]],Nodes!A:D,4,0)</f>
        <v>2</v>
      </c>
      <c r="G5">
        <f>VLOOKUP(Table1[[#This Row],[Calling Node]],Nodes!A:E,5,0)</f>
        <v>2</v>
      </c>
      <c r="H5">
        <f>VLOOKUP(Table1[[#This Row],[Called Node]],Nodes!A:D,4,0)</f>
        <v>23</v>
      </c>
      <c r="I5">
        <f>VLOOKUP(Table1[[#This Row],[Called Node]],Nodes!A:E,5,0)</f>
        <v>16</v>
      </c>
    </row>
    <row r="6" spans="1:9" x14ac:dyDescent="0.3">
      <c r="A6" t="s">
        <v>9</v>
      </c>
      <c r="B6" t="str">
        <f>VLOOKUP(Table1[[#This Row],[Calling Node]],Nodes!A:B,2,0)</f>
        <v>calculate_depreciated_ACRL_60b</v>
      </c>
      <c r="C6" t="s">
        <v>152</v>
      </c>
      <c r="D6" t="str">
        <f>VLOOKUP(Table1[[#This Row],[Called Node]],Nodes!A:B,2,0)</f>
        <v>database_query_fail_statement</v>
      </c>
      <c r="E6" s="3" t="str">
        <f>Table1[[#This Row],[Calling Node]]&amp;" -&gt; "&amp;Table1[[#This Row],[Called Node]]</f>
        <v>calculate_depreciated_ACRL_60b -&gt; database_query_fail_statement</v>
      </c>
      <c r="F6">
        <f>VLOOKUP(Table1[[#This Row],[Calling Node]],Nodes!A:D,4,0)</f>
        <v>2</v>
      </c>
      <c r="G6">
        <f>VLOOKUP(Table1[[#This Row],[Calling Node]],Nodes!A:E,5,0)</f>
        <v>2</v>
      </c>
      <c r="H6">
        <f>VLOOKUP(Table1[[#This Row],[Called Node]],Nodes!A:D,4,0)</f>
        <v>23</v>
      </c>
      <c r="I6">
        <f>VLOOKUP(Table1[[#This Row],[Called Node]],Nodes!A:E,5,0)</f>
        <v>18</v>
      </c>
    </row>
    <row r="7" spans="1:9" x14ac:dyDescent="0.3">
      <c r="A7" t="s">
        <v>10</v>
      </c>
      <c r="B7" t="str">
        <f>VLOOKUP(Table1[[#This Row],[Calling Node]],Nodes!A:B,2,0)</f>
        <v>calculate_depreciated_ACRL_63</v>
      </c>
      <c r="C7" t="s">
        <v>123</v>
      </c>
      <c r="D7" t="str">
        <f>VLOOKUP(Table1[[#This Row],[Called Node]],Nodes!A:B,2,0)</f>
        <v>query_database</v>
      </c>
      <c r="E7" s="3" t="str">
        <f>Table1[[#This Row],[Calling Node]]&amp;" -&gt; "&amp;Table1[[#This Row],[Called Node]]</f>
        <v>calculate_depreciated_ACRL_63 -&gt; query_database</v>
      </c>
      <c r="F7">
        <f>VLOOKUP(Table1[[#This Row],[Calling Node]],Nodes!A:D,4,0)</f>
        <v>2</v>
      </c>
      <c r="G7">
        <f>VLOOKUP(Table1[[#This Row],[Calling Node]],Nodes!A:E,5,0)</f>
        <v>3</v>
      </c>
      <c r="H7">
        <f>VLOOKUP(Table1[[#This Row],[Called Node]],Nodes!A:D,4,0)</f>
        <v>22</v>
      </c>
      <c r="I7">
        <f>VLOOKUP(Table1[[#This Row],[Called Node]],Nodes!A:E,5,0)</f>
        <v>17</v>
      </c>
    </row>
    <row r="8" spans="1:9" x14ac:dyDescent="0.3">
      <c r="A8" t="s">
        <v>10</v>
      </c>
      <c r="B8" t="str">
        <f>VLOOKUP(Table1[[#This Row],[Calling Node]],Nodes!A:B,2,0)</f>
        <v>calculate_depreciated_ACRL_63</v>
      </c>
      <c r="C8" t="s">
        <v>130</v>
      </c>
      <c r="D8" t="str">
        <f>VLOOKUP(Table1[[#This Row],[Called Node]],Nodes!A:B,2,0)</f>
        <v>extract_value_from_single_value_df</v>
      </c>
      <c r="E8" s="3" t="str">
        <f>Table1[[#This Row],[Calling Node]]&amp;" -&gt; "&amp;Table1[[#This Row],[Called Node]]</f>
        <v>calculate_depreciated_ACRL_63 -&gt; extract_value_from_single_value_df</v>
      </c>
      <c r="F8">
        <f>VLOOKUP(Table1[[#This Row],[Calling Node]],Nodes!A:D,4,0)</f>
        <v>2</v>
      </c>
      <c r="G8">
        <f>VLOOKUP(Table1[[#This Row],[Calling Node]],Nodes!A:E,5,0)</f>
        <v>3</v>
      </c>
      <c r="H8">
        <f>VLOOKUP(Table1[[#This Row],[Called Node]],Nodes!A:D,4,0)</f>
        <v>22</v>
      </c>
      <c r="I8">
        <f>VLOOKUP(Table1[[#This Row],[Called Node]],Nodes!A:E,5,0)</f>
        <v>24</v>
      </c>
    </row>
    <row r="9" spans="1:9" x14ac:dyDescent="0.3">
      <c r="A9" t="s">
        <v>10</v>
      </c>
      <c r="B9" t="str">
        <f>VLOOKUP(Table1[[#This Row],[Calling Node]],Nodes!A:B,2,0)</f>
        <v>calculate_depreciated_ACRL_63</v>
      </c>
      <c r="C9" t="s">
        <v>150</v>
      </c>
      <c r="D9" t="str">
        <f>VLOOKUP(Table1[[#This Row],[Called Node]],Nodes!A:B,2,0)</f>
        <v>return_value_from_query_statement</v>
      </c>
      <c r="E9" s="3" t="str">
        <f>Table1[[#This Row],[Calling Node]]&amp;" -&gt; "&amp;Table1[[#This Row],[Called Node]]</f>
        <v>calculate_depreciated_ACRL_63 -&gt; return_value_from_query_statement</v>
      </c>
      <c r="F9">
        <f>VLOOKUP(Table1[[#This Row],[Calling Node]],Nodes!A:D,4,0)</f>
        <v>2</v>
      </c>
      <c r="G9">
        <f>VLOOKUP(Table1[[#This Row],[Calling Node]],Nodes!A:E,5,0)</f>
        <v>3</v>
      </c>
      <c r="H9">
        <f>VLOOKUP(Table1[[#This Row],[Called Node]],Nodes!A:D,4,0)</f>
        <v>23</v>
      </c>
      <c r="I9">
        <f>VLOOKUP(Table1[[#This Row],[Called Node]],Nodes!A:E,5,0)</f>
        <v>16</v>
      </c>
    </row>
    <row r="10" spans="1:9" x14ac:dyDescent="0.3">
      <c r="A10" t="s">
        <v>10</v>
      </c>
      <c r="B10" t="str">
        <f>VLOOKUP(Table1[[#This Row],[Calling Node]],Nodes!A:B,2,0)</f>
        <v>calculate_depreciated_ACRL_63</v>
      </c>
      <c r="C10" t="s">
        <v>152</v>
      </c>
      <c r="D10" t="str">
        <f>VLOOKUP(Table1[[#This Row],[Called Node]],Nodes!A:B,2,0)</f>
        <v>database_query_fail_statement</v>
      </c>
      <c r="E10" s="3" t="str">
        <f>Table1[[#This Row],[Calling Node]]&amp;" -&gt; "&amp;Table1[[#This Row],[Called Node]]</f>
        <v>calculate_depreciated_ACRL_63 -&gt; database_query_fail_statement</v>
      </c>
      <c r="F10">
        <f>VLOOKUP(Table1[[#This Row],[Calling Node]],Nodes!A:D,4,0)</f>
        <v>2</v>
      </c>
      <c r="G10">
        <f>VLOOKUP(Table1[[#This Row],[Calling Node]],Nodes!A:E,5,0)</f>
        <v>3</v>
      </c>
      <c r="H10">
        <f>VLOOKUP(Table1[[#This Row],[Called Node]],Nodes!A:D,4,0)</f>
        <v>23</v>
      </c>
      <c r="I10">
        <f>VLOOKUP(Table1[[#This Row],[Called Node]],Nodes!A:E,5,0)</f>
        <v>18</v>
      </c>
    </row>
    <row r="11" spans="1:9" x14ac:dyDescent="0.3">
      <c r="A11" t="s">
        <v>11</v>
      </c>
      <c r="B11" t="str">
        <f>VLOOKUP(Table1[[#This Row],[Calling Node]],Nodes!A:B,2,0)</f>
        <v>calculate_ACRL_61a</v>
      </c>
      <c r="C11" t="s">
        <v>123</v>
      </c>
      <c r="D11" t="str">
        <f>VLOOKUP(Table1[[#This Row],[Called Node]],Nodes!A:B,2,0)</f>
        <v>query_database</v>
      </c>
      <c r="E11" s="3" t="str">
        <f>Table1[[#This Row],[Calling Node]]&amp;" -&gt; "&amp;Table1[[#This Row],[Called Node]]</f>
        <v>calculate_ACRL_61a -&gt; query_database</v>
      </c>
      <c r="F11">
        <f>VLOOKUP(Table1[[#This Row],[Calling Node]],Nodes!A:D,4,0)</f>
        <v>2</v>
      </c>
      <c r="G11">
        <f>VLOOKUP(Table1[[#This Row],[Calling Node]],Nodes!A:E,5,0)</f>
        <v>4</v>
      </c>
      <c r="H11">
        <f>VLOOKUP(Table1[[#This Row],[Called Node]],Nodes!A:D,4,0)</f>
        <v>22</v>
      </c>
      <c r="I11">
        <f>VLOOKUP(Table1[[#This Row],[Called Node]],Nodes!A:E,5,0)</f>
        <v>17</v>
      </c>
    </row>
    <row r="12" spans="1:9" x14ac:dyDescent="0.3">
      <c r="A12" t="s">
        <v>11</v>
      </c>
      <c r="B12" t="str">
        <f>VLOOKUP(Table1[[#This Row],[Calling Node]],Nodes!A:B,2,0)</f>
        <v>calculate_ACRL_61a</v>
      </c>
      <c r="C12" t="s">
        <v>130</v>
      </c>
      <c r="D12" t="str">
        <f>VLOOKUP(Table1[[#This Row],[Called Node]],Nodes!A:B,2,0)</f>
        <v>extract_value_from_single_value_df</v>
      </c>
      <c r="E12" s="3" t="str">
        <f>Table1[[#This Row],[Calling Node]]&amp;" -&gt; "&amp;Table1[[#This Row],[Called Node]]</f>
        <v>calculate_ACRL_61a -&gt; extract_value_from_single_value_df</v>
      </c>
      <c r="F12">
        <f>VLOOKUP(Table1[[#This Row],[Calling Node]],Nodes!A:D,4,0)</f>
        <v>2</v>
      </c>
      <c r="G12">
        <f>VLOOKUP(Table1[[#This Row],[Calling Node]],Nodes!A:E,5,0)</f>
        <v>4</v>
      </c>
      <c r="H12">
        <f>VLOOKUP(Table1[[#This Row],[Called Node]],Nodes!A:D,4,0)</f>
        <v>22</v>
      </c>
      <c r="I12">
        <f>VLOOKUP(Table1[[#This Row],[Called Node]],Nodes!A:E,5,0)</f>
        <v>24</v>
      </c>
    </row>
    <row r="13" spans="1:9" x14ac:dyDescent="0.3">
      <c r="A13" t="s">
        <v>11</v>
      </c>
      <c r="B13" t="str">
        <f>VLOOKUP(Table1[[#This Row],[Calling Node]],Nodes!A:B,2,0)</f>
        <v>calculate_ACRL_61a</v>
      </c>
      <c r="C13" t="s">
        <v>150</v>
      </c>
      <c r="D13" t="str">
        <f>VLOOKUP(Table1[[#This Row],[Called Node]],Nodes!A:B,2,0)</f>
        <v>return_value_from_query_statement</v>
      </c>
      <c r="E13" s="3" t="str">
        <f>Table1[[#This Row],[Calling Node]]&amp;" -&gt; "&amp;Table1[[#This Row],[Called Node]]</f>
        <v>calculate_ACRL_61a -&gt; return_value_from_query_statement</v>
      </c>
      <c r="F13">
        <f>VLOOKUP(Table1[[#This Row],[Calling Node]],Nodes!A:D,4,0)</f>
        <v>2</v>
      </c>
      <c r="G13">
        <f>VLOOKUP(Table1[[#This Row],[Calling Node]],Nodes!A:E,5,0)</f>
        <v>4</v>
      </c>
      <c r="H13">
        <f>VLOOKUP(Table1[[#This Row],[Called Node]],Nodes!A:D,4,0)</f>
        <v>23</v>
      </c>
      <c r="I13">
        <f>VLOOKUP(Table1[[#This Row],[Called Node]],Nodes!A:E,5,0)</f>
        <v>16</v>
      </c>
    </row>
    <row r="14" spans="1:9" x14ac:dyDescent="0.3">
      <c r="A14" t="s">
        <v>11</v>
      </c>
      <c r="B14" t="str">
        <f>VLOOKUP(Table1[[#This Row],[Calling Node]],Nodes!A:B,2,0)</f>
        <v>calculate_ACRL_61a</v>
      </c>
      <c r="C14" t="s">
        <v>152</v>
      </c>
      <c r="D14" t="str">
        <f>VLOOKUP(Table1[[#This Row],[Called Node]],Nodes!A:B,2,0)</f>
        <v>database_query_fail_statement</v>
      </c>
      <c r="E14" s="3" t="str">
        <f>Table1[[#This Row],[Calling Node]]&amp;" -&gt; "&amp;Table1[[#This Row],[Called Node]]</f>
        <v>calculate_ACRL_61a -&gt; database_query_fail_statement</v>
      </c>
      <c r="F14">
        <f>VLOOKUP(Table1[[#This Row],[Calling Node]],Nodes!A:D,4,0)</f>
        <v>2</v>
      </c>
      <c r="G14">
        <f>VLOOKUP(Table1[[#This Row],[Calling Node]],Nodes!A:E,5,0)</f>
        <v>4</v>
      </c>
      <c r="H14">
        <f>VLOOKUP(Table1[[#This Row],[Called Node]],Nodes!A:D,4,0)</f>
        <v>23</v>
      </c>
      <c r="I14">
        <f>VLOOKUP(Table1[[#This Row],[Called Node]],Nodes!A:E,5,0)</f>
        <v>18</v>
      </c>
    </row>
    <row r="15" spans="1:9" x14ac:dyDescent="0.3">
      <c r="A15" t="s">
        <v>12</v>
      </c>
      <c r="B15" t="str">
        <f>VLOOKUP(Table1[[#This Row],[Calling Node]],Nodes!A:B,2,0)</f>
        <v>calculate_ACRL_61b</v>
      </c>
      <c r="C15" t="s">
        <v>123</v>
      </c>
      <c r="D15" t="str">
        <f>VLOOKUP(Table1[[#This Row],[Called Node]],Nodes!A:B,2,0)</f>
        <v>query_database</v>
      </c>
      <c r="E15" s="3" t="str">
        <f>Table1[[#This Row],[Calling Node]]&amp;" -&gt; "&amp;Table1[[#This Row],[Called Node]]</f>
        <v>calculate_ACRL_61b -&gt; query_database</v>
      </c>
      <c r="F15">
        <f>VLOOKUP(Table1[[#This Row],[Calling Node]],Nodes!A:D,4,0)</f>
        <v>2</v>
      </c>
      <c r="G15">
        <f>VLOOKUP(Table1[[#This Row],[Calling Node]],Nodes!A:E,5,0)</f>
        <v>5</v>
      </c>
      <c r="H15">
        <f>VLOOKUP(Table1[[#This Row],[Called Node]],Nodes!A:D,4,0)</f>
        <v>22</v>
      </c>
      <c r="I15">
        <f>VLOOKUP(Table1[[#This Row],[Called Node]],Nodes!A:E,5,0)</f>
        <v>17</v>
      </c>
    </row>
    <row r="16" spans="1:9" x14ac:dyDescent="0.3">
      <c r="A16" t="s">
        <v>12</v>
      </c>
      <c r="B16" t="str">
        <f>VLOOKUP(Table1[[#This Row],[Calling Node]],Nodes!A:B,2,0)</f>
        <v>calculate_ACRL_61b</v>
      </c>
      <c r="C16" t="s">
        <v>130</v>
      </c>
      <c r="D16" t="str">
        <f>VLOOKUP(Table1[[#This Row],[Called Node]],Nodes!A:B,2,0)</f>
        <v>extract_value_from_single_value_df</v>
      </c>
      <c r="E16" s="3" t="str">
        <f>Table1[[#This Row],[Calling Node]]&amp;" -&gt; "&amp;Table1[[#This Row],[Called Node]]</f>
        <v>calculate_ACRL_61b -&gt; extract_value_from_single_value_df</v>
      </c>
      <c r="F16">
        <f>VLOOKUP(Table1[[#This Row],[Calling Node]],Nodes!A:D,4,0)</f>
        <v>2</v>
      </c>
      <c r="G16">
        <f>VLOOKUP(Table1[[#This Row],[Calling Node]],Nodes!A:E,5,0)</f>
        <v>5</v>
      </c>
      <c r="H16">
        <f>VLOOKUP(Table1[[#This Row],[Called Node]],Nodes!A:D,4,0)</f>
        <v>22</v>
      </c>
      <c r="I16">
        <f>VLOOKUP(Table1[[#This Row],[Called Node]],Nodes!A:E,5,0)</f>
        <v>24</v>
      </c>
    </row>
    <row r="17" spans="1:9" x14ac:dyDescent="0.3">
      <c r="A17" t="s">
        <v>12</v>
      </c>
      <c r="B17" t="str">
        <f>VLOOKUP(Table1[[#This Row],[Calling Node]],Nodes!A:B,2,0)</f>
        <v>calculate_ACRL_61b</v>
      </c>
      <c r="C17" t="s">
        <v>150</v>
      </c>
      <c r="D17" t="str">
        <f>VLOOKUP(Table1[[#This Row],[Called Node]],Nodes!A:B,2,0)</f>
        <v>return_value_from_query_statement</v>
      </c>
      <c r="E17" s="3" t="str">
        <f>Table1[[#This Row],[Calling Node]]&amp;" -&gt; "&amp;Table1[[#This Row],[Called Node]]</f>
        <v>calculate_ACRL_61b -&gt; return_value_from_query_statement</v>
      </c>
      <c r="F17">
        <f>VLOOKUP(Table1[[#This Row],[Calling Node]],Nodes!A:D,4,0)</f>
        <v>2</v>
      </c>
      <c r="G17">
        <f>VLOOKUP(Table1[[#This Row],[Calling Node]],Nodes!A:E,5,0)</f>
        <v>5</v>
      </c>
      <c r="H17">
        <f>VLOOKUP(Table1[[#This Row],[Called Node]],Nodes!A:D,4,0)</f>
        <v>23</v>
      </c>
      <c r="I17">
        <f>VLOOKUP(Table1[[#This Row],[Called Node]],Nodes!A:E,5,0)</f>
        <v>16</v>
      </c>
    </row>
    <row r="18" spans="1:9" x14ac:dyDescent="0.3">
      <c r="A18" t="s">
        <v>12</v>
      </c>
      <c r="B18" t="str">
        <f>VLOOKUP(Table1[[#This Row],[Calling Node]],Nodes!A:B,2,0)</f>
        <v>calculate_ACRL_61b</v>
      </c>
      <c r="C18" t="s">
        <v>152</v>
      </c>
      <c r="D18" t="str">
        <f>VLOOKUP(Table1[[#This Row],[Called Node]],Nodes!A:B,2,0)</f>
        <v>database_query_fail_statement</v>
      </c>
      <c r="E18" s="3" t="str">
        <f>Table1[[#This Row],[Calling Node]]&amp;" -&gt; "&amp;Table1[[#This Row],[Called Node]]</f>
        <v>calculate_ACRL_61b -&gt; database_query_fail_statement</v>
      </c>
      <c r="F18">
        <f>VLOOKUP(Table1[[#This Row],[Calling Node]],Nodes!A:D,4,0)</f>
        <v>2</v>
      </c>
      <c r="G18">
        <f>VLOOKUP(Table1[[#This Row],[Calling Node]],Nodes!A:E,5,0)</f>
        <v>5</v>
      </c>
      <c r="H18">
        <f>VLOOKUP(Table1[[#This Row],[Called Node]],Nodes!A:D,4,0)</f>
        <v>23</v>
      </c>
      <c r="I18">
        <f>VLOOKUP(Table1[[#This Row],[Called Node]],Nodes!A:E,5,0)</f>
        <v>18</v>
      </c>
    </row>
    <row r="19" spans="1:9" x14ac:dyDescent="0.3">
      <c r="A19" t="s">
        <v>13</v>
      </c>
      <c r="B19" t="str">
        <f>VLOOKUP(Table1[[#This Row],[Calling Node]],Nodes!A:B,2,0)</f>
        <v>calculate_ARL_18</v>
      </c>
      <c r="C19" t="s">
        <v>123</v>
      </c>
      <c r="D19" t="str">
        <f>VLOOKUP(Table1[[#This Row],[Called Node]],Nodes!A:B,2,0)</f>
        <v>query_database</v>
      </c>
      <c r="E19" s="3" t="str">
        <f>Table1[[#This Row],[Calling Node]]&amp;" -&gt; "&amp;Table1[[#This Row],[Called Node]]</f>
        <v>calculate_ARL_18 -&gt; query_database</v>
      </c>
      <c r="F19">
        <f>VLOOKUP(Table1[[#This Row],[Calling Node]],Nodes!A:D,4,0)</f>
        <v>2</v>
      </c>
      <c r="G19">
        <f>VLOOKUP(Table1[[#This Row],[Calling Node]],Nodes!A:E,5,0)</f>
        <v>6</v>
      </c>
      <c r="H19">
        <f>VLOOKUP(Table1[[#This Row],[Called Node]],Nodes!A:D,4,0)</f>
        <v>22</v>
      </c>
      <c r="I19">
        <f>VLOOKUP(Table1[[#This Row],[Called Node]],Nodes!A:E,5,0)</f>
        <v>17</v>
      </c>
    </row>
    <row r="20" spans="1:9" x14ac:dyDescent="0.3">
      <c r="A20" t="s">
        <v>13</v>
      </c>
      <c r="B20" t="str">
        <f>VLOOKUP(Table1[[#This Row],[Calling Node]],Nodes!A:B,2,0)</f>
        <v>calculate_ARL_18</v>
      </c>
      <c r="C20" t="s">
        <v>130</v>
      </c>
      <c r="D20" t="str">
        <f>VLOOKUP(Table1[[#This Row],[Called Node]],Nodes!A:B,2,0)</f>
        <v>extract_value_from_single_value_df</v>
      </c>
      <c r="E20" s="3" t="str">
        <f>Table1[[#This Row],[Calling Node]]&amp;" -&gt; "&amp;Table1[[#This Row],[Called Node]]</f>
        <v>calculate_ARL_18 -&gt; extract_value_from_single_value_df</v>
      </c>
      <c r="F20">
        <f>VLOOKUP(Table1[[#This Row],[Calling Node]],Nodes!A:D,4,0)</f>
        <v>2</v>
      </c>
      <c r="G20">
        <f>VLOOKUP(Table1[[#This Row],[Calling Node]],Nodes!A:E,5,0)</f>
        <v>6</v>
      </c>
      <c r="H20">
        <f>VLOOKUP(Table1[[#This Row],[Called Node]],Nodes!A:D,4,0)</f>
        <v>22</v>
      </c>
      <c r="I20">
        <f>VLOOKUP(Table1[[#This Row],[Called Node]],Nodes!A:E,5,0)</f>
        <v>24</v>
      </c>
    </row>
    <row r="21" spans="1:9" x14ac:dyDescent="0.3">
      <c r="A21" t="s">
        <v>13</v>
      </c>
      <c r="B21" t="str">
        <f>VLOOKUP(Table1[[#This Row],[Calling Node]],Nodes!A:B,2,0)</f>
        <v>calculate_ARL_18</v>
      </c>
      <c r="C21" t="s">
        <v>150</v>
      </c>
      <c r="D21" t="str">
        <f>VLOOKUP(Table1[[#This Row],[Called Node]],Nodes!A:B,2,0)</f>
        <v>return_value_from_query_statement</v>
      </c>
      <c r="E21" s="3" t="str">
        <f>Table1[[#This Row],[Calling Node]]&amp;" -&gt; "&amp;Table1[[#This Row],[Called Node]]</f>
        <v>calculate_ARL_18 -&gt; return_value_from_query_statement</v>
      </c>
      <c r="F21">
        <f>VLOOKUP(Table1[[#This Row],[Calling Node]],Nodes!A:D,4,0)</f>
        <v>2</v>
      </c>
      <c r="G21">
        <f>VLOOKUP(Table1[[#This Row],[Calling Node]],Nodes!A:E,5,0)</f>
        <v>6</v>
      </c>
      <c r="H21">
        <f>VLOOKUP(Table1[[#This Row],[Called Node]],Nodes!A:D,4,0)</f>
        <v>23</v>
      </c>
      <c r="I21">
        <f>VLOOKUP(Table1[[#This Row],[Called Node]],Nodes!A:E,5,0)</f>
        <v>16</v>
      </c>
    </row>
    <row r="22" spans="1:9" x14ac:dyDescent="0.3">
      <c r="A22" t="s">
        <v>13</v>
      </c>
      <c r="B22" t="str">
        <f>VLOOKUP(Table1[[#This Row],[Calling Node]],Nodes!A:B,2,0)</f>
        <v>calculate_ARL_18</v>
      </c>
      <c r="C22" t="s">
        <v>152</v>
      </c>
      <c r="D22" t="str">
        <f>VLOOKUP(Table1[[#This Row],[Called Node]],Nodes!A:B,2,0)</f>
        <v>database_query_fail_statement</v>
      </c>
      <c r="E22" s="3" t="str">
        <f>Table1[[#This Row],[Calling Node]]&amp;" -&gt; "&amp;Table1[[#This Row],[Called Node]]</f>
        <v>calculate_ARL_18 -&gt; database_query_fail_statement</v>
      </c>
      <c r="F22">
        <f>VLOOKUP(Table1[[#This Row],[Calling Node]],Nodes!A:D,4,0)</f>
        <v>2</v>
      </c>
      <c r="G22">
        <f>VLOOKUP(Table1[[#This Row],[Calling Node]],Nodes!A:E,5,0)</f>
        <v>6</v>
      </c>
      <c r="H22">
        <f>VLOOKUP(Table1[[#This Row],[Called Node]],Nodes!A:D,4,0)</f>
        <v>23</v>
      </c>
      <c r="I22">
        <f>VLOOKUP(Table1[[#This Row],[Called Node]],Nodes!A:E,5,0)</f>
        <v>18</v>
      </c>
    </row>
    <row r="23" spans="1:9" x14ac:dyDescent="0.3">
      <c r="A23" t="s">
        <v>14</v>
      </c>
      <c r="B23" t="str">
        <f>VLOOKUP(Table1[[#This Row],[Calling Node]],Nodes!A:B,2,0)</f>
        <v>calculate_ARL_19</v>
      </c>
      <c r="C23" t="s">
        <v>123</v>
      </c>
      <c r="D23" t="str">
        <f>VLOOKUP(Table1[[#This Row],[Called Node]],Nodes!A:B,2,0)</f>
        <v>query_database</v>
      </c>
      <c r="E23" s="3" t="str">
        <f>Table1[[#This Row],[Calling Node]]&amp;" -&gt; "&amp;Table1[[#This Row],[Called Node]]</f>
        <v>calculate_ARL_19 -&gt; query_database</v>
      </c>
      <c r="F23">
        <f>VLOOKUP(Table1[[#This Row],[Calling Node]],Nodes!A:D,4,0)</f>
        <v>2</v>
      </c>
      <c r="G23">
        <f>VLOOKUP(Table1[[#This Row],[Calling Node]],Nodes!A:E,5,0)</f>
        <v>7</v>
      </c>
      <c r="H23">
        <f>VLOOKUP(Table1[[#This Row],[Called Node]],Nodes!A:D,4,0)</f>
        <v>22</v>
      </c>
      <c r="I23">
        <f>VLOOKUP(Table1[[#This Row],[Called Node]],Nodes!A:E,5,0)</f>
        <v>17</v>
      </c>
    </row>
    <row r="24" spans="1:9" x14ac:dyDescent="0.3">
      <c r="A24" t="s">
        <v>14</v>
      </c>
      <c r="B24" t="str">
        <f>VLOOKUP(Table1[[#This Row],[Calling Node]],Nodes!A:B,2,0)</f>
        <v>calculate_ARL_19</v>
      </c>
      <c r="C24" t="s">
        <v>130</v>
      </c>
      <c r="D24" t="str">
        <f>VLOOKUP(Table1[[#This Row],[Called Node]],Nodes!A:B,2,0)</f>
        <v>extract_value_from_single_value_df</v>
      </c>
      <c r="E24" s="3" t="str">
        <f>Table1[[#This Row],[Calling Node]]&amp;" -&gt; "&amp;Table1[[#This Row],[Called Node]]</f>
        <v>calculate_ARL_19 -&gt; extract_value_from_single_value_df</v>
      </c>
      <c r="F24">
        <f>VLOOKUP(Table1[[#This Row],[Calling Node]],Nodes!A:D,4,0)</f>
        <v>2</v>
      </c>
      <c r="G24">
        <f>VLOOKUP(Table1[[#This Row],[Calling Node]],Nodes!A:E,5,0)</f>
        <v>7</v>
      </c>
      <c r="H24">
        <f>VLOOKUP(Table1[[#This Row],[Called Node]],Nodes!A:D,4,0)</f>
        <v>22</v>
      </c>
      <c r="I24">
        <f>VLOOKUP(Table1[[#This Row],[Called Node]],Nodes!A:E,5,0)</f>
        <v>24</v>
      </c>
    </row>
    <row r="25" spans="1:9" x14ac:dyDescent="0.3">
      <c r="A25" t="s">
        <v>14</v>
      </c>
      <c r="B25" t="str">
        <f>VLOOKUP(Table1[[#This Row],[Calling Node]],Nodes!A:B,2,0)</f>
        <v>calculate_ARL_19</v>
      </c>
      <c r="C25" t="s">
        <v>150</v>
      </c>
      <c r="D25" t="str">
        <f>VLOOKUP(Table1[[#This Row],[Called Node]],Nodes!A:B,2,0)</f>
        <v>return_value_from_query_statement</v>
      </c>
      <c r="E25" s="3" t="str">
        <f>Table1[[#This Row],[Calling Node]]&amp;" -&gt; "&amp;Table1[[#This Row],[Called Node]]</f>
        <v>calculate_ARL_19 -&gt; return_value_from_query_statement</v>
      </c>
      <c r="F25">
        <f>VLOOKUP(Table1[[#This Row],[Calling Node]],Nodes!A:D,4,0)</f>
        <v>2</v>
      </c>
      <c r="G25">
        <f>VLOOKUP(Table1[[#This Row],[Calling Node]],Nodes!A:E,5,0)</f>
        <v>7</v>
      </c>
      <c r="H25">
        <f>VLOOKUP(Table1[[#This Row],[Called Node]],Nodes!A:D,4,0)</f>
        <v>23</v>
      </c>
      <c r="I25">
        <f>VLOOKUP(Table1[[#This Row],[Called Node]],Nodes!A:E,5,0)</f>
        <v>16</v>
      </c>
    </row>
    <row r="26" spans="1:9" x14ac:dyDescent="0.3">
      <c r="A26" t="s">
        <v>14</v>
      </c>
      <c r="B26" t="str">
        <f>VLOOKUP(Table1[[#This Row],[Calling Node]],Nodes!A:B,2,0)</f>
        <v>calculate_ARL_19</v>
      </c>
      <c r="C26" t="s">
        <v>152</v>
      </c>
      <c r="D26" t="str">
        <f>VLOOKUP(Table1[[#This Row],[Called Node]],Nodes!A:B,2,0)</f>
        <v>database_query_fail_statement</v>
      </c>
      <c r="E26" s="3" t="str">
        <f>Table1[[#This Row],[Calling Node]]&amp;" -&gt; "&amp;Table1[[#This Row],[Called Node]]</f>
        <v>calculate_ARL_19 -&gt; database_query_fail_statement</v>
      </c>
      <c r="F26">
        <f>VLOOKUP(Table1[[#This Row],[Calling Node]],Nodes!A:D,4,0)</f>
        <v>2</v>
      </c>
      <c r="G26">
        <f>VLOOKUP(Table1[[#This Row],[Calling Node]],Nodes!A:E,5,0)</f>
        <v>7</v>
      </c>
      <c r="H26">
        <f>VLOOKUP(Table1[[#This Row],[Called Node]],Nodes!A:D,4,0)</f>
        <v>23</v>
      </c>
      <c r="I26">
        <f>VLOOKUP(Table1[[#This Row],[Called Node]],Nodes!A:E,5,0)</f>
        <v>18</v>
      </c>
    </row>
    <row r="27" spans="1:9" x14ac:dyDescent="0.3">
      <c r="A27" t="s">
        <v>15</v>
      </c>
      <c r="B27" t="str">
        <f>VLOOKUP(Table1[[#This Row],[Calling Node]],Nodes!A:B,2,0)</f>
        <v>calculate_ARL_20</v>
      </c>
      <c r="C27" t="s">
        <v>123</v>
      </c>
      <c r="D27" t="str">
        <f>VLOOKUP(Table1[[#This Row],[Called Node]],Nodes!A:B,2,0)</f>
        <v>query_database</v>
      </c>
      <c r="E27" s="3" t="str">
        <f>Table1[[#This Row],[Calling Node]]&amp;" -&gt; "&amp;Table1[[#This Row],[Called Node]]</f>
        <v>calculate_ARL_20 -&gt; query_database</v>
      </c>
      <c r="F27">
        <f>VLOOKUP(Table1[[#This Row],[Calling Node]],Nodes!A:D,4,0)</f>
        <v>2</v>
      </c>
      <c r="G27">
        <f>VLOOKUP(Table1[[#This Row],[Calling Node]],Nodes!A:E,5,0)</f>
        <v>8</v>
      </c>
      <c r="H27">
        <f>VLOOKUP(Table1[[#This Row],[Called Node]],Nodes!A:D,4,0)</f>
        <v>22</v>
      </c>
      <c r="I27">
        <f>VLOOKUP(Table1[[#This Row],[Called Node]],Nodes!A:E,5,0)</f>
        <v>17</v>
      </c>
    </row>
    <row r="28" spans="1:9" x14ac:dyDescent="0.3">
      <c r="A28" t="s">
        <v>15</v>
      </c>
      <c r="B28" t="str">
        <f>VLOOKUP(Table1[[#This Row],[Calling Node]],Nodes!A:B,2,0)</f>
        <v>calculate_ARL_20</v>
      </c>
      <c r="C28" t="s">
        <v>130</v>
      </c>
      <c r="D28" t="str">
        <f>VLOOKUP(Table1[[#This Row],[Called Node]],Nodes!A:B,2,0)</f>
        <v>extract_value_from_single_value_df</v>
      </c>
      <c r="E28" s="3" t="str">
        <f>Table1[[#This Row],[Calling Node]]&amp;" -&gt; "&amp;Table1[[#This Row],[Called Node]]</f>
        <v>calculate_ARL_20 -&gt; extract_value_from_single_value_df</v>
      </c>
      <c r="F28">
        <f>VLOOKUP(Table1[[#This Row],[Calling Node]],Nodes!A:D,4,0)</f>
        <v>2</v>
      </c>
      <c r="G28">
        <f>VLOOKUP(Table1[[#This Row],[Calling Node]],Nodes!A:E,5,0)</f>
        <v>8</v>
      </c>
      <c r="H28">
        <f>VLOOKUP(Table1[[#This Row],[Called Node]],Nodes!A:D,4,0)</f>
        <v>22</v>
      </c>
      <c r="I28">
        <f>VLOOKUP(Table1[[#This Row],[Called Node]],Nodes!A:E,5,0)</f>
        <v>24</v>
      </c>
    </row>
    <row r="29" spans="1:9" x14ac:dyDescent="0.3">
      <c r="A29" t="s">
        <v>15</v>
      </c>
      <c r="B29" t="str">
        <f>VLOOKUP(Table1[[#This Row],[Calling Node]],Nodes!A:B,2,0)</f>
        <v>calculate_ARL_20</v>
      </c>
      <c r="C29" t="s">
        <v>150</v>
      </c>
      <c r="D29" t="str">
        <f>VLOOKUP(Table1[[#This Row],[Called Node]],Nodes!A:B,2,0)</f>
        <v>return_value_from_query_statement</v>
      </c>
      <c r="E29" s="3" t="str">
        <f>Table1[[#This Row],[Calling Node]]&amp;" -&gt; "&amp;Table1[[#This Row],[Called Node]]</f>
        <v>calculate_ARL_20 -&gt; return_value_from_query_statement</v>
      </c>
      <c r="F29">
        <f>VLOOKUP(Table1[[#This Row],[Calling Node]],Nodes!A:D,4,0)</f>
        <v>2</v>
      </c>
      <c r="G29">
        <f>VLOOKUP(Table1[[#This Row],[Calling Node]],Nodes!A:E,5,0)</f>
        <v>8</v>
      </c>
      <c r="H29">
        <f>VLOOKUP(Table1[[#This Row],[Called Node]],Nodes!A:D,4,0)</f>
        <v>23</v>
      </c>
      <c r="I29">
        <f>VLOOKUP(Table1[[#This Row],[Called Node]],Nodes!A:E,5,0)</f>
        <v>16</v>
      </c>
    </row>
    <row r="30" spans="1:9" x14ac:dyDescent="0.3">
      <c r="A30" t="s">
        <v>15</v>
      </c>
      <c r="B30" t="str">
        <f>VLOOKUP(Table1[[#This Row],[Calling Node]],Nodes!A:B,2,0)</f>
        <v>calculate_ARL_20</v>
      </c>
      <c r="C30" t="s">
        <v>152</v>
      </c>
      <c r="D30" t="str">
        <f>VLOOKUP(Table1[[#This Row],[Called Node]],Nodes!A:B,2,0)</f>
        <v>database_query_fail_statement</v>
      </c>
      <c r="E30" s="3" t="str">
        <f>Table1[[#This Row],[Calling Node]]&amp;" -&gt; "&amp;Table1[[#This Row],[Called Node]]</f>
        <v>calculate_ARL_20 -&gt; database_query_fail_statement</v>
      </c>
      <c r="F30">
        <f>VLOOKUP(Table1[[#This Row],[Calling Node]],Nodes!A:D,4,0)</f>
        <v>2</v>
      </c>
      <c r="G30">
        <f>VLOOKUP(Table1[[#This Row],[Calling Node]],Nodes!A:E,5,0)</f>
        <v>8</v>
      </c>
      <c r="H30">
        <f>VLOOKUP(Table1[[#This Row],[Called Node]],Nodes!A:D,4,0)</f>
        <v>23</v>
      </c>
      <c r="I30">
        <f>VLOOKUP(Table1[[#This Row],[Called Node]],Nodes!A:E,5,0)</f>
        <v>18</v>
      </c>
    </row>
    <row r="31" spans="1:9" x14ac:dyDescent="0.3">
      <c r="A31" t="s">
        <v>16</v>
      </c>
      <c r="B31" t="str">
        <f>VLOOKUP(Table1[[#This Row],[Calling Node]],Nodes!A:B,2,0)</f>
        <v>create_usage_tracking_records_for_fiscal_year</v>
      </c>
      <c r="C31" t="s">
        <v>50</v>
      </c>
      <c r="D31" s="2" t="str">
        <f>VLOOKUP(Table1[[#This Row],[Called Node]],Nodes!A:B,2,0)</f>
        <v>state_data_types</v>
      </c>
      <c r="E31" s="3" t="str">
        <f>Table1[[#This Row],[Calling Node]]&amp;" -&gt; "&amp;Table1[[#This Row],[Called Node]]</f>
        <v>create_usage_tracking_records_for_fiscal_year -&gt; state_data_types_in_annualUsageCollectionTracking</v>
      </c>
      <c r="F31">
        <f>VLOOKUP(Table1[[#This Row],[Calling Node]],Nodes!A:D,4,0)</f>
        <v>2</v>
      </c>
      <c r="G31">
        <f>VLOOKUP(Table1[[#This Row],[Calling Node]],Nodes!A:E,5,0)</f>
        <v>9</v>
      </c>
      <c r="H31">
        <f>VLOOKUP(Table1[[#This Row],[Called Node]],Nodes!A:D,4,0)</f>
        <v>11</v>
      </c>
      <c r="I31">
        <f>VLOOKUP(Table1[[#This Row],[Called Node]],Nodes!A:E,5,0)</f>
        <v>1</v>
      </c>
    </row>
    <row r="32" spans="1:9" x14ac:dyDescent="0.3">
      <c r="A32" t="s">
        <v>16</v>
      </c>
      <c r="B32" t="str">
        <f>VLOOKUP(Table1[[#This Row],[Calling Node]],Nodes!A:B,2,0)</f>
        <v>create_usage_tracking_records_for_fiscal_year</v>
      </c>
      <c r="C32" t="s">
        <v>117</v>
      </c>
      <c r="D32" t="str">
        <f>VLOOKUP(Table1[[#This Row],[Called Node]],Nodes!A:B,2,0)</f>
        <v>return_string_of_dataframe_info</v>
      </c>
      <c r="E32" s="3" t="str">
        <f>Table1[[#This Row],[Calling Node]]&amp;" -&gt; "&amp;Table1[[#This Row],[Called Node]]</f>
        <v>create_usage_tracking_records_for_fiscal_year -&gt; return_string_of_dataframe_info</v>
      </c>
      <c r="F32">
        <f>VLOOKUP(Table1[[#This Row],[Calling Node]],Nodes!A:D,4,0)</f>
        <v>2</v>
      </c>
      <c r="G32">
        <f>VLOOKUP(Table1[[#This Row],[Calling Node]],Nodes!A:E,5,0)</f>
        <v>9</v>
      </c>
      <c r="H32">
        <f>VLOOKUP(Table1[[#This Row],[Called Node]],Nodes!A:D,4,0)</f>
        <v>22</v>
      </c>
      <c r="I32">
        <f>VLOOKUP(Table1[[#This Row],[Called Node]],Nodes!A:E,5,0)</f>
        <v>11</v>
      </c>
    </row>
    <row r="33" spans="1:9" x14ac:dyDescent="0.3">
      <c r="A33" t="s">
        <v>16</v>
      </c>
      <c r="B33" t="str">
        <f>VLOOKUP(Table1[[#This Row],[Calling Node]],Nodes!A:B,2,0)</f>
        <v>create_usage_tracking_records_for_fiscal_year</v>
      </c>
      <c r="C33" t="s">
        <v>122</v>
      </c>
      <c r="D33" t="str">
        <f>VLOOKUP(Table1[[#This Row],[Called Node]],Nodes!A:B,2,0)</f>
        <v>load_data_into_database</v>
      </c>
      <c r="E33" s="3" t="str">
        <f>Table1[[#This Row],[Calling Node]]&amp;" -&gt; "&amp;Table1[[#This Row],[Called Node]]</f>
        <v>create_usage_tracking_records_for_fiscal_year -&gt; load_data_into_database</v>
      </c>
      <c r="F33">
        <f>VLOOKUP(Table1[[#This Row],[Calling Node]],Nodes!A:D,4,0)</f>
        <v>2</v>
      </c>
      <c r="G33">
        <f>VLOOKUP(Table1[[#This Row],[Calling Node]],Nodes!A:E,5,0)</f>
        <v>9</v>
      </c>
      <c r="H33">
        <f>VLOOKUP(Table1[[#This Row],[Called Node]],Nodes!A:D,4,0)</f>
        <v>22</v>
      </c>
      <c r="I33">
        <f>VLOOKUP(Table1[[#This Row],[Called Node]],Nodes!A:E,5,0)</f>
        <v>16</v>
      </c>
    </row>
    <row r="34" spans="1:9" x14ac:dyDescent="0.3">
      <c r="A34" t="s">
        <v>16</v>
      </c>
      <c r="B34" t="str">
        <f>VLOOKUP(Table1[[#This Row],[Calling Node]],Nodes!A:B,2,0)</f>
        <v>create_usage_tracking_records_for_fiscal_year</v>
      </c>
      <c r="C34" t="s">
        <v>123</v>
      </c>
      <c r="D34" t="str">
        <f>VLOOKUP(Table1[[#This Row],[Called Node]],Nodes!A:B,2,0)</f>
        <v>query_database</v>
      </c>
      <c r="E34" s="3" t="str">
        <f>Table1[[#This Row],[Calling Node]]&amp;" -&gt; "&amp;Table1[[#This Row],[Called Node]]</f>
        <v>create_usage_tracking_records_for_fiscal_year -&gt; query_database</v>
      </c>
      <c r="F34">
        <f>VLOOKUP(Table1[[#This Row],[Calling Node]],Nodes!A:D,4,0)</f>
        <v>2</v>
      </c>
      <c r="G34">
        <f>VLOOKUP(Table1[[#This Row],[Calling Node]],Nodes!A:E,5,0)</f>
        <v>9</v>
      </c>
      <c r="H34">
        <f>VLOOKUP(Table1[[#This Row],[Called Node]],Nodes!A:D,4,0)</f>
        <v>22</v>
      </c>
      <c r="I34">
        <f>VLOOKUP(Table1[[#This Row],[Called Node]],Nodes!A:E,5,0)</f>
        <v>17</v>
      </c>
    </row>
    <row r="35" spans="1:9" x14ac:dyDescent="0.3">
      <c r="A35" t="s">
        <v>16</v>
      </c>
      <c r="B35" t="str">
        <f>VLOOKUP(Table1[[#This Row],[Calling Node]],Nodes!A:B,2,0)</f>
        <v>create_usage_tracking_records_for_fiscal_year</v>
      </c>
      <c r="C35" t="s">
        <v>151</v>
      </c>
      <c r="D35" t="str">
        <f>VLOOKUP(Table1[[#This Row],[Called Node]],Nodes!A:B,2,0)</f>
        <v>return_dataframe_from_query_statement</v>
      </c>
      <c r="E35" s="3" t="str">
        <f>Table1[[#This Row],[Calling Node]]&amp;" -&gt; "&amp;Table1[[#This Row],[Called Node]]</f>
        <v>create_usage_tracking_records_for_fiscal_year -&gt; return_dataframe_from_query_statement</v>
      </c>
      <c r="F35">
        <f>VLOOKUP(Table1[[#This Row],[Calling Node]],Nodes!A:D,4,0)</f>
        <v>2</v>
      </c>
      <c r="G35">
        <f>VLOOKUP(Table1[[#This Row],[Calling Node]],Nodes!A:E,5,0)</f>
        <v>9</v>
      </c>
      <c r="H35">
        <f>VLOOKUP(Table1[[#This Row],[Called Node]],Nodes!A:D,4,0)</f>
        <v>23</v>
      </c>
      <c r="I35">
        <f>VLOOKUP(Table1[[#This Row],[Called Node]],Nodes!A:E,5,0)</f>
        <v>17</v>
      </c>
    </row>
    <row r="36" spans="1:9" x14ac:dyDescent="0.3">
      <c r="A36" t="s">
        <v>16</v>
      </c>
      <c r="B36" t="str">
        <f>VLOOKUP(Table1[[#This Row],[Calling Node]],Nodes!A:B,2,0)</f>
        <v>create_usage_tracking_records_for_fiscal_year</v>
      </c>
      <c r="C36" t="s">
        <v>152</v>
      </c>
      <c r="D36" t="str">
        <f>VLOOKUP(Table1[[#This Row],[Called Node]],Nodes!A:B,2,0)</f>
        <v>database_query_fail_statement</v>
      </c>
      <c r="E36" s="3" t="str">
        <f>Table1[[#This Row],[Calling Node]]&amp;" -&gt; "&amp;Table1[[#This Row],[Called Node]]</f>
        <v>create_usage_tracking_records_for_fiscal_year -&gt; database_query_fail_statement</v>
      </c>
      <c r="F36">
        <f>VLOOKUP(Table1[[#This Row],[Calling Node]],Nodes!A:D,4,0)</f>
        <v>2</v>
      </c>
      <c r="G36">
        <f>VLOOKUP(Table1[[#This Row],[Calling Node]],Nodes!A:E,5,0)</f>
        <v>9</v>
      </c>
      <c r="H36">
        <f>VLOOKUP(Table1[[#This Row],[Called Node]],Nodes!A:D,4,0)</f>
        <v>23</v>
      </c>
      <c r="I36">
        <f>VLOOKUP(Table1[[#This Row],[Called Node]],Nodes!A:E,5,0)</f>
        <v>18</v>
      </c>
    </row>
    <row r="37" spans="1:9" x14ac:dyDescent="0.3">
      <c r="A37" t="s">
        <v>17</v>
      </c>
      <c r="B37" t="str">
        <f>VLOOKUP(Table1[[#This Row],[Calling Node]],Nodes!A:B,2,0)</f>
        <v>collect_fiscal_year_usage_statistics</v>
      </c>
      <c r="C37" t="s">
        <v>32</v>
      </c>
      <c r="D37" t="str">
        <f>VLOOKUP(Table1[[#This Row],[Called Node]],Nodes!A:B,2,0)</f>
        <v>_harvest_R5_SUSHI</v>
      </c>
      <c r="E37" s="3" t="str">
        <f>Table1[[#This Row],[Calling Node]]&amp;" -&gt; "&amp;Table1[[#This Row],[Called Node]]</f>
        <v>collect_fiscal_year_usage_statistics -&gt; _harvest_R5_SUSHI</v>
      </c>
      <c r="F37">
        <f>VLOOKUP(Table1[[#This Row],[Calling Node]],Nodes!A:D,4,0)</f>
        <v>2</v>
      </c>
      <c r="G37">
        <f>VLOOKUP(Table1[[#This Row],[Calling Node]],Nodes!A:E,5,0)</f>
        <v>10</v>
      </c>
      <c r="H37">
        <f>VLOOKUP(Table1[[#This Row],[Called Node]],Nodes!A:D,4,0)</f>
        <v>6</v>
      </c>
      <c r="I37">
        <f>VLOOKUP(Table1[[#This Row],[Called Node]],Nodes!A:E,5,0)</f>
        <v>3</v>
      </c>
    </row>
    <row r="38" spans="1:9" x14ac:dyDescent="0.3">
      <c r="A38" t="s">
        <v>17</v>
      </c>
      <c r="B38" t="str">
        <f>VLOOKUP(Table1[[#This Row],[Calling Node]],Nodes!A:B,2,0)</f>
        <v>collect_fiscal_year_usage_statistics</v>
      </c>
      <c r="C38" t="s">
        <v>116</v>
      </c>
      <c r="D38" t="str">
        <f>VLOOKUP(Table1[[#This Row],[Called Node]],Nodes!A:B,2,0)</f>
        <v>first_new_PK_value</v>
      </c>
      <c r="E38" s="3" t="str">
        <f>Table1[[#This Row],[Calling Node]]&amp;" -&gt; "&amp;Table1[[#This Row],[Called Node]]</f>
        <v>collect_fiscal_year_usage_statistics -&gt; first_new_PK_value</v>
      </c>
      <c r="F38">
        <f>VLOOKUP(Table1[[#This Row],[Calling Node]],Nodes!A:D,4,0)</f>
        <v>2</v>
      </c>
      <c r="G38">
        <f>VLOOKUP(Table1[[#This Row],[Calling Node]],Nodes!A:E,5,0)</f>
        <v>10</v>
      </c>
      <c r="H38">
        <f>VLOOKUP(Table1[[#This Row],[Called Node]],Nodes!A:D,4,0)</f>
        <v>22</v>
      </c>
      <c r="I38">
        <f>VLOOKUP(Table1[[#This Row],[Called Node]],Nodes!A:E,5,0)</f>
        <v>10</v>
      </c>
    </row>
    <row r="39" spans="1:9" x14ac:dyDescent="0.3">
      <c r="A39" t="s">
        <v>17</v>
      </c>
      <c r="B39" t="str">
        <f>VLOOKUP(Table1[[#This Row],[Calling Node]],Nodes!A:B,2,0)</f>
        <v>collect_fiscal_year_usage_statistics</v>
      </c>
      <c r="C39" t="s">
        <v>122</v>
      </c>
      <c r="D39" t="str">
        <f>VLOOKUP(Table1[[#This Row],[Called Node]],Nodes!A:B,2,0)</f>
        <v>load_data_into_database</v>
      </c>
      <c r="E39" s="3" t="str">
        <f>Table1[[#This Row],[Calling Node]]&amp;" -&gt; "&amp;Table1[[#This Row],[Called Node]]</f>
        <v>collect_fiscal_year_usage_statistics -&gt; load_data_into_database</v>
      </c>
      <c r="F39">
        <f>VLOOKUP(Table1[[#This Row],[Calling Node]],Nodes!A:D,4,0)</f>
        <v>2</v>
      </c>
      <c r="G39">
        <f>VLOOKUP(Table1[[#This Row],[Calling Node]],Nodes!A:E,5,0)</f>
        <v>10</v>
      </c>
      <c r="H39">
        <f>VLOOKUP(Table1[[#This Row],[Called Node]],Nodes!A:D,4,0)</f>
        <v>22</v>
      </c>
      <c r="I39">
        <f>VLOOKUP(Table1[[#This Row],[Called Node]],Nodes!A:E,5,0)</f>
        <v>16</v>
      </c>
    </row>
    <row r="40" spans="1:9" x14ac:dyDescent="0.3">
      <c r="A40" t="s">
        <v>17</v>
      </c>
      <c r="B40" t="str">
        <f>VLOOKUP(Table1[[#This Row],[Calling Node]],Nodes!A:B,2,0)</f>
        <v>collect_fiscal_year_usage_statistics</v>
      </c>
      <c r="C40" t="s">
        <v>123</v>
      </c>
      <c r="D40" t="str">
        <f>VLOOKUP(Table1[[#This Row],[Called Node]],Nodes!A:B,2,0)</f>
        <v>query_database</v>
      </c>
      <c r="E40" s="3" t="str">
        <f>Table1[[#This Row],[Calling Node]]&amp;" -&gt; "&amp;Table1[[#This Row],[Called Node]]</f>
        <v>collect_fiscal_year_usage_statistics -&gt; query_database</v>
      </c>
      <c r="F40">
        <f>VLOOKUP(Table1[[#This Row],[Calling Node]],Nodes!A:D,4,0)</f>
        <v>2</v>
      </c>
      <c r="G40">
        <f>VLOOKUP(Table1[[#This Row],[Calling Node]],Nodes!A:E,5,0)</f>
        <v>10</v>
      </c>
      <c r="H40">
        <f>VLOOKUP(Table1[[#This Row],[Called Node]],Nodes!A:D,4,0)</f>
        <v>22</v>
      </c>
      <c r="I40">
        <f>VLOOKUP(Table1[[#This Row],[Called Node]],Nodes!A:E,5,0)</f>
        <v>17</v>
      </c>
    </row>
    <row r="41" spans="1:9" x14ac:dyDescent="0.3">
      <c r="A41" t="s">
        <v>17</v>
      </c>
      <c r="B41" t="str">
        <f>VLOOKUP(Table1[[#This Row],[Calling Node]],Nodes!A:B,2,0)</f>
        <v>collect_fiscal_year_usage_statistics</v>
      </c>
      <c r="C41" t="s">
        <v>126</v>
      </c>
      <c r="D41" t="str">
        <f>VLOOKUP(Table1[[#This Row],[Called Node]],Nodes!A:B,2,0)</f>
        <v>update_database</v>
      </c>
      <c r="E41" s="3" t="str">
        <f>Table1[[#This Row],[Calling Node]]&amp;" -&gt; "&amp;Table1[[#This Row],[Called Node]]</f>
        <v>collect_fiscal_year_usage_statistics -&gt; update_database</v>
      </c>
      <c r="F41">
        <f>VLOOKUP(Table1[[#This Row],[Calling Node]],Nodes!A:D,4,0)</f>
        <v>2</v>
      </c>
      <c r="G41">
        <f>VLOOKUP(Table1[[#This Row],[Calling Node]],Nodes!A:E,5,0)</f>
        <v>10</v>
      </c>
      <c r="H41">
        <f>VLOOKUP(Table1[[#This Row],[Called Node]],Nodes!A:D,4,0)</f>
        <v>22</v>
      </c>
      <c r="I41">
        <f>VLOOKUP(Table1[[#This Row],[Called Node]],Nodes!A:E,5,0)</f>
        <v>20</v>
      </c>
    </row>
    <row r="42" spans="1:9" x14ac:dyDescent="0.3">
      <c r="A42" t="s">
        <v>17</v>
      </c>
      <c r="B42" t="str">
        <f>VLOOKUP(Table1[[#This Row],[Calling Node]],Nodes!A:B,2,0)</f>
        <v>collect_fiscal_year_usage_statistics</v>
      </c>
      <c r="C42" t="s">
        <v>136</v>
      </c>
      <c r="D42" t="str">
        <f>VLOOKUP(Table1[[#This Row],[Called Node]],Nodes!A:B,2,0)</f>
        <v>format_list_for_stdout</v>
      </c>
      <c r="E42" s="3" t="str">
        <f>Table1[[#This Row],[Calling Node]]&amp;" -&gt; "&amp;Table1[[#This Row],[Called Node]]</f>
        <v>collect_fiscal_year_usage_statistics -&gt; format_list_for_stdout</v>
      </c>
      <c r="F42">
        <f>VLOOKUP(Table1[[#This Row],[Calling Node]],Nodes!A:D,4,0)</f>
        <v>2</v>
      </c>
      <c r="G42">
        <f>VLOOKUP(Table1[[#This Row],[Calling Node]],Nodes!A:E,5,0)</f>
        <v>10</v>
      </c>
      <c r="H42">
        <f>VLOOKUP(Table1[[#This Row],[Called Node]],Nodes!A:D,4,0)</f>
        <v>23</v>
      </c>
      <c r="I42">
        <f>VLOOKUP(Table1[[#This Row],[Called Node]],Nodes!A:E,5,0)</f>
        <v>2</v>
      </c>
    </row>
    <row r="43" spans="1:9" x14ac:dyDescent="0.3">
      <c r="A43" t="s">
        <v>17</v>
      </c>
      <c r="B43" t="str">
        <f>VLOOKUP(Table1[[#This Row],[Calling Node]],Nodes!A:B,2,0)</f>
        <v>collect_fiscal_year_usage_statistics</v>
      </c>
      <c r="C43" t="s">
        <v>141</v>
      </c>
      <c r="D43" t="str">
        <f>VLOOKUP(Table1[[#This Row],[Called Node]],Nodes!A:B,2,0)</f>
        <v>unable_to_get_updated_primary_key_values_statement</v>
      </c>
      <c r="E43" s="3" t="str">
        <f>Table1[[#This Row],[Calling Node]]&amp;" -&gt; "&amp;Table1[[#This Row],[Called Node]]</f>
        <v>collect_fiscal_year_usage_statistics -&gt; unable_to_get_updated_primary_key_values_statement</v>
      </c>
      <c r="F43">
        <f>VLOOKUP(Table1[[#This Row],[Calling Node]],Nodes!A:D,4,0)</f>
        <v>2</v>
      </c>
      <c r="G43">
        <f>VLOOKUP(Table1[[#This Row],[Calling Node]],Nodes!A:E,5,0)</f>
        <v>10</v>
      </c>
      <c r="H43">
        <f>VLOOKUP(Table1[[#This Row],[Called Node]],Nodes!A:D,4,0)</f>
        <v>23</v>
      </c>
      <c r="I43">
        <f>VLOOKUP(Table1[[#This Row],[Called Node]],Nodes!A:E,5,0)</f>
        <v>7</v>
      </c>
    </row>
    <row r="44" spans="1:9" x14ac:dyDescent="0.3">
      <c r="A44" t="s">
        <v>17</v>
      </c>
      <c r="B44" t="str">
        <f>VLOOKUP(Table1[[#This Row],[Calling Node]],Nodes!A:B,2,0)</f>
        <v>collect_fiscal_year_usage_statistics</v>
      </c>
      <c r="C44" t="s">
        <v>152</v>
      </c>
      <c r="D44" t="str">
        <f>VLOOKUP(Table1[[#This Row],[Called Node]],Nodes!A:B,2,0)</f>
        <v>database_query_fail_statement</v>
      </c>
      <c r="E44" s="3" t="str">
        <f>Table1[[#This Row],[Calling Node]]&amp;" -&gt; "&amp;Table1[[#This Row],[Called Node]]</f>
        <v>collect_fiscal_year_usage_statistics -&gt; database_query_fail_statement</v>
      </c>
      <c r="F44">
        <f>VLOOKUP(Table1[[#This Row],[Calling Node]],Nodes!A:D,4,0)</f>
        <v>2</v>
      </c>
      <c r="G44">
        <f>VLOOKUP(Table1[[#This Row],[Calling Node]],Nodes!A:E,5,0)</f>
        <v>10</v>
      </c>
      <c r="H44">
        <f>VLOOKUP(Table1[[#This Row],[Called Node]],Nodes!A:D,4,0)</f>
        <v>23</v>
      </c>
      <c r="I44">
        <f>VLOOKUP(Table1[[#This Row],[Called Node]],Nodes!A:E,5,0)</f>
        <v>18</v>
      </c>
    </row>
    <row r="45" spans="1:9" x14ac:dyDescent="0.3">
      <c r="A45" t="s">
        <v>17</v>
      </c>
      <c r="B45" t="str">
        <f>VLOOKUP(Table1[[#This Row],[Calling Node]],Nodes!A:B,2,0)</f>
        <v>collect_fiscal_year_usage_statistics</v>
      </c>
      <c r="C45" t="s">
        <v>154</v>
      </c>
      <c r="D45" t="str">
        <f>VLOOKUP(Table1[[#This Row],[Called Node]],Nodes!A:B,2,0)</f>
        <v>add_data_success_and_update_database_fail_statement</v>
      </c>
      <c r="E45" s="3" t="str">
        <f>Table1[[#This Row],[Calling Node]]&amp;" -&gt; "&amp;Table1[[#This Row],[Called Node]]</f>
        <v>collect_fiscal_year_usage_statistics -&gt; add_data_success_and_update_database_fail_statement</v>
      </c>
      <c r="F45">
        <f>VLOOKUP(Table1[[#This Row],[Calling Node]],Nodes!A:D,4,0)</f>
        <v>2</v>
      </c>
      <c r="G45">
        <f>VLOOKUP(Table1[[#This Row],[Calling Node]],Nodes!A:E,5,0)</f>
        <v>10</v>
      </c>
      <c r="H45">
        <f>VLOOKUP(Table1[[#This Row],[Called Node]],Nodes!A:D,4,0)</f>
        <v>23</v>
      </c>
      <c r="I45">
        <f>VLOOKUP(Table1[[#This Row],[Called Node]],Nodes!A:E,5,0)</f>
        <v>20</v>
      </c>
    </row>
    <row r="46" spans="1:9" x14ac:dyDescent="0.3">
      <c r="A46" t="s">
        <v>17</v>
      </c>
      <c r="B46" t="str">
        <f>VLOOKUP(Table1[[#This Row],[Calling Node]],Nodes!A:B,2,0)</f>
        <v>collect_fiscal_year_usage_statistics</v>
      </c>
      <c r="C46" t="s">
        <v>156</v>
      </c>
      <c r="D46" t="str">
        <f>VLOOKUP(Table1[[#This Row],[Called Node]],Nodes!A:B,2,0)</f>
        <v>load_data_into_database_success_regex</v>
      </c>
      <c r="E46" s="3" t="str">
        <f>Table1[[#This Row],[Calling Node]]&amp;" -&gt; "&amp;Table1[[#This Row],[Called Node]]</f>
        <v>collect_fiscal_year_usage_statistics -&gt; load_data_into_database_success_regex</v>
      </c>
      <c r="F46">
        <f>VLOOKUP(Table1[[#This Row],[Calling Node]],Nodes!A:D,4,0)</f>
        <v>2</v>
      </c>
      <c r="G46">
        <f>VLOOKUP(Table1[[#This Row],[Calling Node]],Nodes!A:E,5,0)</f>
        <v>10</v>
      </c>
      <c r="H46">
        <f>VLOOKUP(Table1[[#This Row],[Called Node]],Nodes!A:D,4,0)</f>
        <v>23</v>
      </c>
      <c r="I46">
        <f>VLOOKUP(Table1[[#This Row],[Called Node]],Nodes!A:E,5,0)</f>
        <v>22</v>
      </c>
    </row>
    <row r="47" spans="1:9" x14ac:dyDescent="0.3">
      <c r="A47" t="s">
        <v>17</v>
      </c>
      <c r="B47" t="str">
        <f>VLOOKUP(Table1[[#This Row],[Calling Node]],Nodes!A:B,2,0)</f>
        <v>collect_fiscal_year_usage_statistics</v>
      </c>
      <c r="C47" t="s">
        <v>157</v>
      </c>
      <c r="D47" t="str">
        <f>VLOOKUP(Table1[[#This Row],[Called Node]],Nodes!A:B,2,0)</f>
        <v>update_database_success_regex</v>
      </c>
      <c r="E47" s="3" t="str">
        <f>Table1[[#This Row],[Calling Node]]&amp;" -&gt; "&amp;Table1[[#This Row],[Called Node]]</f>
        <v>collect_fiscal_year_usage_statistics -&gt; update_database_success_regex</v>
      </c>
      <c r="F47">
        <f>VLOOKUP(Table1[[#This Row],[Calling Node]],Nodes!A:D,4,0)</f>
        <v>2</v>
      </c>
      <c r="G47">
        <f>VLOOKUP(Table1[[#This Row],[Calling Node]],Nodes!A:E,5,0)</f>
        <v>10</v>
      </c>
      <c r="H47">
        <f>VLOOKUP(Table1[[#This Row],[Called Node]],Nodes!A:D,4,0)</f>
        <v>23</v>
      </c>
      <c r="I47">
        <f>VLOOKUP(Table1[[#This Row],[Called Node]],Nodes!A:E,5,0)</f>
        <v>23</v>
      </c>
    </row>
    <row r="48" spans="1:9" x14ac:dyDescent="0.3">
      <c r="A48" t="s">
        <v>17</v>
      </c>
      <c r="B48" t="str">
        <f>VLOOKUP(Table1[[#This Row],[Calling Node]],Nodes!A:B,2,0)</f>
        <v>collect_fiscal_year_usage_statistics</v>
      </c>
      <c r="C48" t="s">
        <v>159</v>
      </c>
      <c r="D48" t="str">
        <f>VLOOKUP(Table1[[#This Row],[Called Node]],Nodes!A:B,2,0)</f>
        <v>harvest_R5_SUSHI_success_statement</v>
      </c>
      <c r="E48" s="3" t="str">
        <f>Table1[[#This Row],[Calling Node]]&amp;" -&gt; "&amp;Table1[[#This Row],[Called Node]]</f>
        <v>collect_fiscal_year_usage_statistics -&gt; harvest_R5_SUSHI_success_statement</v>
      </c>
      <c r="F48">
        <f>VLOOKUP(Table1[[#This Row],[Calling Node]],Nodes!A:D,4,0)</f>
        <v>2</v>
      </c>
      <c r="G48">
        <f>VLOOKUP(Table1[[#This Row],[Calling Node]],Nodes!A:E,5,0)</f>
        <v>10</v>
      </c>
      <c r="H48">
        <f>VLOOKUP(Table1[[#This Row],[Called Node]],Nodes!A:D,4,0)</f>
        <v>23</v>
      </c>
      <c r="I48">
        <f>VLOOKUP(Table1[[#This Row],[Called Node]],Nodes!A:E,5,0)</f>
        <v>25</v>
      </c>
    </row>
    <row r="49" spans="1:9" x14ac:dyDescent="0.3">
      <c r="A49" t="s">
        <v>1</v>
      </c>
      <c r="B49" t="str">
        <f>VLOOKUP(Table1[[#This Row],[Calling Node]],Nodes!A:B,2,0)</f>
        <v>fetch_SUSHI_information</v>
      </c>
      <c r="C49" t="s">
        <v>0</v>
      </c>
      <c r="D49" t="str">
        <f>VLOOKUP(Table1[[#This Row],[Called Node]],Nodes!A:B,2,0)</f>
        <v>PATH_TO_CREDENTIALS_FILE</v>
      </c>
      <c r="E49" s="3" t="str">
        <f>Table1[[#This Row],[Calling Node]]&amp;" -&gt; "&amp;Table1[[#This Row],[Called Node]]</f>
        <v>fetch_SUSHI_information -&gt; PATH_TO_CREDENTIALS_FILE</v>
      </c>
      <c r="F49">
        <f>VLOOKUP(Table1[[#This Row],[Calling Node]],Nodes!A:D,4,0)</f>
        <v>6</v>
      </c>
      <c r="G49">
        <f>VLOOKUP(Table1[[#This Row],[Calling Node]],Nodes!A:E,5,0)</f>
        <v>2</v>
      </c>
      <c r="H49">
        <f>VLOOKUP(Table1[[#This Row],[Called Node]],Nodes!A:D,4,0)</f>
        <v>1</v>
      </c>
      <c r="I49">
        <f>VLOOKUP(Table1[[#This Row],[Called Node]],Nodes!A:E,5,0)</f>
        <v>1</v>
      </c>
    </row>
    <row r="50" spans="1:9" x14ac:dyDescent="0.3">
      <c r="A50" t="s">
        <v>32</v>
      </c>
      <c r="B50" t="str">
        <f>VLOOKUP(Table1[[#This Row],[Calling Node]],Nodes!A:B,2,0)</f>
        <v>_harvest_R5_SUSHI</v>
      </c>
      <c r="C50" t="s">
        <v>1</v>
      </c>
      <c r="D50" t="str">
        <f>VLOOKUP(Table1[[#This Row],[Called Node]],Nodes!A:B,2,0)</f>
        <v>fetch_SUSHI_information</v>
      </c>
      <c r="E50" s="3" t="str">
        <f>Table1[[#This Row],[Calling Node]]&amp;" -&gt; "&amp;Table1[[#This Row],[Called Node]]</f>
        <v>_harvest_R5_SUSHI -&gt; fetch_SUSHI_information</v>
      </c>
      <c r="F50">
        <f>VLOOKUP(Table1[[#This Row],[Calling Node]],Nodes!A:D,4,0)</f>
        <v>6</v>
      </c>
      <c r="G50">
        <f>VLOOKUP(Table1[[#This Row],[Calling Node]],Nodes!A:E,5,0)</f>
        <v>3</v>
      </c>
      <c r="H50">
        <f>VLOOKUP(Table1[[#This Row],[Called Node]],Nodes!A:D,4,0)</f>
        <v>6</v>
      </c>
      <c r="I50">
        <f>VLOOKUP(Table1[[#This Row],[Called Node]],Nodes!A:E,5,0)</f>
        <v>2</v>
      </c>
    </row>
    <row r="51" spans="1:9" x14ac:dyDescent="0.3">
      <c r="A51" t="s">
        <v>32</v>
      </c>
      <c r="B51" t="str">
        <f>VLOOKUP(Table1[[#This Row],[Calling Node]],Nodes!A:B,2,0)</f>
        <v>_harvest_R5_SUSHI</v>
      </c>
      <c r="C51" t="s">
        <v>33</v>
      </c>
      <c r="D51" t="str">
        <f>VLOOKUP(Table1[[#This Row],[Called Node]],Nodes!A:B,2,0)</f>
        <v>_harvest_single_report</v>
      </c>
      <c r="E51" s="3" t="str">
        <f>Table1[[#This Row],[Calling Node]]&amp;" -&gt; "&amp;Table1[[#This Row],[Called Node]]</f>
        <v>_harvest_R5_SUSHI -&gt; _harvest_single_report</v>
      </c>
      <c r="F51">
        <f>VLOOKUP(Table1[[#This Row],[Calling Node]],Nodes!A:D,4,0)</f>
        <v>6</v>
      </c>
      <c r="G51">
        <f>VLOOKUP(Table1[[#This Row],[Calling Node]],Nodes!A:E,5,0)</f>
        <v>3</v>
      </c>
      <c r="H51">
        <f>VLOOKUP(Table1[[#This Row],[Called Node]],Nodes!A:D,4,0)</f>
        <v>6</v>
      </c>
      <c r="I51">
        <f>VLOOKUP(Table1[[#This Row],[Called Node]],Nodes!A:E,5,0)</f>
        <v>4</v>
      </c>
    </row>
    <row r="52" spans="1:9" x14ac:dyDescent="0.3">
      <c r="A52" t="s">
        <v>32</v>
      </c>
      <c r="B52" t="str">
        <f>VLOOKUP(Table1[[#This Row],[Calling Node]],Nodes!A:B,2,0)</f>
        <v>_harvest_R5_SUSHI</v>
      </c>
      <c r="C52" t="s">
        <v>57</v>
      </c>
      <c r="D52" t="str">
        <f>VLOOKUP(Table1[[#This Row],[Called Node]],Nodes!A:B,2,0)</f>
        <v>make_SUSHI_call</v>
      </c>
      <c r="E52" s="3" t="str">
        <f>Table1[[#This Row],[Calling Node]]&amp;" -&gt; "&amp;Table1[[#This Row],[Called Node]]</f>
        <v>_harvest_R5_SUSHI -&gt; make_SUSHI_call</v>
      </c>
      <c r="F52">
        <f>VLOOKUP(Table1[[#This Row],[Calling Node]],Nodes!A:D,4,0)</f>
        <v>6</v>
      </c>
      <c r="G52">
        <f>VLOOKUP(Table1[[#This Row],[Calling Node]],Nodes!A:E,5,0)</f>
        <v>3</v>
      </c>
      <c r="H52">
        <f>VLOOKUP(Table1[[#This Row],[Called Node]],Nodes!A:D,4,0)</f>
        <v>13</v>
      </c>
      <c r="I52">
        <f>VLOOKUP(Table1[[#This Row],[Called Node]],Nodes!A:E,5,0)</f>
        <v>1</v>
      </c>
    </row>
    <row r="53" spans="1:9" x14ac:dyDescent="0.3">
      <c r="A53" t="s">
        <v>32</v>
      </c>
      <c r="B53" t="str">
        <f>VLOOKUP(Table1[[#This Row],[Calling Node]],Nodes!A:B,2,0)</f>
        <v>_harvest_R5_SUSHI</v>
      </c>
      <c r="C53" t="s">
        <v>158</v>
      </c>
      <c r="D53" t="str">
        <f>VLOOKUP(Table1[[#This Row],[Called Node]],Nodes!A:B,2,0)</f>
        <v>successful_SUSHI_call_statement</v>
      </c>
      <c r="E53" s="3" t="str">
        <f>Table1[[#This Row],[Calling Node]]&amp;" -&gt; "&amp;Table1[[#This Row],[Called Node]]</f>
        <v>_harvest_R5_SUSHI -&gt; successful_SUSHI_call_statement</v>
      </c>
      <c r="F53">
        <f>VLOOKUP(Table1[[#This Row],[Calling Node]],Nodes!A:D,4,0)</f>
        <v>6</v>
      </c>
      <c r="G53">
        <f>VLOOKUP(Table1[[#This Row],[Calling Node]],Nodes!A:E,5,0)</f>
        <v>3</v>
      </c>
      <c r="H53">
        <f>VLOOKUP(Table1[[#This Row],[Called Node]],Nodes!A:D,4,0)</f>
        <v>23</v>
      </c>
      <c r="I53">
        <f>VLOOKUP(Table1[[#This Row],[Called Node]],Nodes!A:E,5,0)</f>
        <v>24</v>
      </c>
    </row>
    <row r="54" spans="1:9" x14ac:dyDescent="0.3">
      <c r="A54" t="s">
        <v>32</v>
      </c>
      <c r="B54" t="str">
        <f>VLOOKUP(Table1[[#This Row],[Calling Node]],Nodes!A:B,2,0)</f>
        <v>_harvest_R5_SUSHI</v>
      </c>
      <c r="C54" t="s">
        <v>160</v>
      </c>
      <c r="D54" t="str">
        <f>VLOOKUP(Table1[[#This Row],[Called Node]],Nodes!A:B,2,0)</f>
        <v>failed_SUSHI_call_statement</v>
      </c>
      <c r="E54" s="3" t="str">
        <f>Table1[[#This Row],[Calling Node]]&amp;" -&gt; "&amp;Table1[[#This Row],[Called Node]]</f>
        <v>_harvest_R5_SUSHI -&gt; failed_SUSHI_call_statement</v>
      </c>
      <c r="F54">
        <f>VLOOKUP(Table1[[#This Row],[Calling Node]],Nodes!A:D,4,0)</f>
        <v>6</v>
      </c>
      <c r="G54">
        <f>VLOOKUP(Table1[[#This Row],[Calling Node]],Nodes!A:E,5,0)</f>
        <v>3</v>
      </c>
      <c r="H54">
        <f>VLOOKUP(Table1[[#This Row],[Called Node]],Nodes!A:D,4,0)</f>
        <v>23</v>
      </c>
      <c r="I54">
        <f>VLOOKUP(Table1[[#This Row],[Called Node]],Nodes!A:E,5,0)</f>
        <v>26</v>
      </c>
    </row>
    <row r="55" spans="1:9" x14ac:dyDescent="0.3">
      <c r="A55" t="s">
        <v>32</v>
      </c>
      <c r="B55" t="str">
        <f>VLOOKUP(Table1[[#This Row],[Calling Node]],Nodes!A:B,2,0)</f>
        <v>_harvest_R5_SUSHI</v>
      </c>
      <c r="C55" t="s">
        <v>162</v>
      </c>
      <c r="D55" t="str">
        <f>VLOOKUP(Table1[[#This Row],[Called Node]],Nodes!A:B,2,0)</f>
        <v>attempted_SUSHI_call_with_invalid_dates_statement</v>
      </c>
      <c r="E55" s="3" t="str">
        <f>Table1[[#This Row],[Calling Node]]&amp;" -&gt; "&amp;Table1[[#This Row],[Called Node]]</f>
        <v>_harvest_R5_SUSHI -&gt; attempted_SUSHI_call_with_invalid_dates_statement</v>
      </c>
      <c r="F55">
        <f>VLOOKUP(Table1[[#This Row],[Calling Node]],Nodes!A:D,4,0)</f>
        <v>6</v>
      </c>
      <c r="G55">
        <f>VLOOKUP(Table1[[#This Row],[Calling Node]],Nodes!A:E,5,0)</f>
        <v>3</v>
      </c>
      <c r="H55">
        <f>VLOOKUP(Table1[[#This Row],[Called Node]],Nodes!A:D,4,0)</f>
        <v>23</v>
      </c>
      <c r="I55">
        <f>VLOOKUP(Table1[[#This Row],[Called Node]],Nodes!A:E,5,0)</f>
        <v>28</v>
      </c>
    </row>
    <row r="56" spans="1:9" x14ac:dyDescent="0.3">
      <c r="A56" t="s">
        <v>32</v>
      </c>
      <c r="B56" t="str">
        <f>VLOOKUP(Table1[[#This Row],[Calling Node]],Nodes!A:B,2,0)</f>
        <v>_harvest_R5_SUSHI</v>
      </c>
      <c r="C56" t="s">
        <v>163</v>
      </c>
      <c r="D56" t="str">
        <f>VLOOKUP(Table1[[#This Row],[Called Node]],Nodes!A:B,2,0)</f>
        <v>reports_with_no_usage_regex</v>
      </c>
      <c r="E56" s="3" t="str">
        <f>Table1[[#This Row],[Calling Node]]&amp;" -&gt; "&amp;Table1[[#This Row],[Called Node]]</f>
        <v>_harvest_R5_SUSHI -&gt; reports_with_no_usage_regex</v>
      </c>
      <c r="F56">
        <f>VLOOKUP(Table1[[#This Row],[Calling Node]],Nodes!A:D,4,0)</f>
        <v>6</v>
      </c>
      <c r="G56">
        <f>VLOOKUP(Table1[[#This Row],[Calling Node]],Nodes!A:E,5,0)</f>
        <v>3</v>
      </c>
      <c r="H56">
        <f>VLOOKUP(Table1[[#This Row],[Called Node]],Nodes!A:D,4,0)</f>
        <v>23</v>
      </c>
      <c r="I56">
        <f>VLOOKUP(Table1[[#This Row],[Called Node]],Nodes!A:E,5,0)</f>
        <v>29</v>
      </c>
    </row>
    <row r="57" spans="1:9" x14ac:dyDescent="0.3">
      <c r="A57" t="s">
        <v>33</v>
      </c>
      <c r="B57" t="str">
        <f>VLOOKUP(Table1[[#This Row],[Calling Node]],Nodes!A:B,2,0)</f>
        <v>_harvest_single_report</v>
      </c>
      <c r="C57" t="s">
        <v>34</v>
      </c>
      <c r="D57" t="str">
        <f>VLOOKUP(Table1[[#This Row],[Called Node]],Nodes!A:B,2,0)</f>
        <v>_check_if_data_in_database</v>
      </c>
      <c r="E57" s="3" t="str">
        <f>Table1[[#This Row],[Calling Node]]&amp;" -&gt; "&amp;Table1[[#This Row],[Called Node]]</f>
        <v>_harvest_single_report -&gt; _check_if_data_in_database</v>
      </c>
      <c r="F57">
        <f>VLOOKUP(Table1[[#This Row],[Calling Node]],Nodes!A:D,4,0)</f>
        <v>6</v>
      </c>
      <c r="G57">
        <f>VLOOKUP(Table1[[#This Row],[Calling Node]],Nodes!A:E,5,0)</f>
        <v>4</v>
      </c>
      <c r="H57">
        <f>VLOOKUP(Table1[[#This Row],[Called Node]],Nodes!A:D,4,0)</f>
        <v>6</v>
      </c>
      <c r="I57">
        <f>VLOOKUP(Table1[[#This Row],[Called Node]],Nodes!A:E,5,0)</f>
        <v>5</v>
      </c>
    </row>
    <row r="58" spans="1:9" x14ac:dyDescent="0.3">
      <c r="A58" t="s">
        <v>33</v>
      </c>
      <c r="B58" t="str">
        <f>VLOOKUP(Table1[[#This Row],[Calling Node]],Nodes!A:B,2,0)</f>
        <v>_harvest_single_report</v>
      </c>
      <c r="C58" t="s">
        <v>55</v>
      </c>
      <c r="D58" s="2" t="str">
        <f>VLOOKUP(Table1[[#This Row],[Called Node]],Nodes!A:B,2,0)</f>
        <v>state_data_types</v>
      </c>
      <c r="E58" s="3" t="str">
        <f>Table1[[#This Row],[Calling Node]]&amp;" -&gt; "&amp;Table1[[#This Row],[Called Node]]</f>
        <v>_harvest_single_report -&gt; state_data_types_in_COUNTERData</v>
      </c>
      <c r="F58">
        <f>VLOOKUP(Table1[[#This Row],[Calling Node]],Nodes!A:D,4,0)</f>
        <v>6</v>
      </c>
      <c r="G58">
        <f>VLOOKUP(Table1[[#This Row],[Calling Node]],Nodes!A:E,5,0)</f>
        <v>4</v>
      </c>
      <c r="H58">
        <f>VLOOKUP(Table1[[#This Row],[Called Node]],Nodes!A:D,4,0)</f>
        <v>12</v>
      </c>
      <c r="I58">
        <f>VLOOKUP(Table1[[#This Row],[Called Node]],Nodes!A:E,5,0)</f>
        <v>1</v>
      </c>
    </row>
    <row r="59" spans="1:9" x14ac:dyDescent="0.3">
      <c r="A59" t="s">
        <v>33</v>
      </c>
      <c r="B59" t="str">
        <f>VLOOKUP(Table1[[#This Row],[Calling Node]],Nodes!A:B,2,0)</f>
        <v>_harvest_single_report</v>
      </c>
      <c r="C59" t="s">
        <v>57</v>
      </c>
      <c r="D59" t="str">
        <f>VLOOKUP(Table1[[#This Row],[Called Node]],Nodes!A:B,2,0)</f>
        <v>make_SUSHI_call</v>
      </c>
      <c r="E59" s="3" t="str">
        <f>Table1[[#This Row],[Calling Node]]&amp;" -&gt; "&amp;Table1[[#This Row],[Called Node]]</f>
        <v>_harvest_single_report -&gt; make_SUSHI_call</v>
      </c>
      <c r="F59">
        <f>VLOOKUP(Table1[[#This Row],[Calling Node]],Nodes!A:D,4,0)</f>
        <v>6</v>
      </c>
      <c r="G59">
        <f>VLOOKUP(Table1[[#This Row],[Calling Node]],Nodes!A:E,5,0)</f>
        <v>4</v>
      </c>
      <c r="H59">
        <f>VLOOKUP(Table1[[#This Row],[Called Node]],Nodes!A:D,4,0)</f>
        <v>13</v>
      </c>
      <c r="I59">
        <f>VLOOKUP(Table1[[#This Row],[Called Node]],Nodes!A:E,5,0)</f>
        <v>1</v>
      </c>
    </row>
    <row r="60" spans="1:9" x14ac:dyDescent="0.3">
      <c r="A60" t="s">
        <v>33</v>
      </c>
      <c r="B60" t="str">
        <f>VLOOKUP(Table1[[#This Row],[Calling Node]],Nodes!A:B,2,0)</f>
        <v>_harvest_single_report</v>
      </c>
      <c r="C60" t="s">
        <v>68</v>
      </c>
      <c r="D60" s="2" t="str">
        <f>VLOOKUP(Table1[[#This Row],[Called Node]],Nodes!A:B,2,0)</f>
        <v>create_dataframe</v>
      </c>
      <c r="E60" s="3" t="str">
        <f>Table1[[#This Row],[Calling Node]]&amp;" -&gt; "&amp;Table1[[#This Row],[Called Node]]</f>
        <v>_harvest_single_report -&gt; create_dataframe_in_ConvertJSONDictToDataframe</v>
      </c>
      <c r="F60">
        <f>VLOOKUP(Table1[[#This Row],[Calling Node]],Nodes!A:D,4,0)</f>
        <v>6</v>
      </c>
      <c r="G60">
        <f>VLOOKUP(Table1[[#This Row],[Calling Node]],Nodes!A:E,5,0)</f>
        <v>4</v>
      </c>
      <c r="H60">
        <f>VLOOKUP(Table1[[#This Row],[Called Node]],Nodes!A:D,4,0)</f>
        <v>15</v>
      </c>
      <c r="I60">
        <f>VLOOKUP(Table1[[#This Row],[Called Node]],Nodes!A:E,5,0)</f>
        <v>1</v>
      </c>
    </row>
    <row r="61" spans="1:9" x14ac:dyDescent="0.3">
      <c r="A61" t="s">
        <v>33</v>
      </c>
      <c r="B61" t="str">
        <f>VLOOKUP(Table1[[#This Row],[Calling Node]],Nodes!A:B,2,0)</f>
        <v>_harvest_single_report</v>
      </c>
      <c r="C61" t="s">
        <v>115</v>
      </c>
      <c r="D61" t="str">
        <f>VLOOKUP(Table1[[#This Row],[Called Node]],Nodes!A:B,2,0)</f>
        <v>last_day_of_month</v>
      </c>
      <c r="E61" s="3" t="str">
        <f>Table1[[#This Row],[Calling Node]]&amp;" -&gt; "&amp;Table1[[#This Row],[Called Node]]</f>
        <v>_harvest_single_report -&gt; last_day_of_month</v>
      </c>
      <c r="F61">
        <f>VLOOKUP(Table1[[#This Row],[Calling Node]],Nodes!A:D,4,0)</f>
        <v>6</v>
      </c>
      <c r="G61">
        <f>VLOOKUP(Table1[[#This Row],[Calling Node]],Nodes!A:E,5,0)</f>
        <v>4</v>
      </c>
      <c r="H61">
        <f>VLOOKUP(Table1[[#This Row],[Called Node]],Nodes!A:D,4,0)</f>
        <v>22</v>
      </c>
      <c r="I61">
        <f>VLOOKUP(Table1[[#This Row],[Called Node]],Nodes!A:E,5,0)</f>
        <v>9</v>
      </c>
    </row>
    <row r="62" spans="1:9" x14ac:dyDescent="0.3">
      <c r="A62" t="s">
        <v>33</v>
      </c>
      <c r="B62" t="str">
        <f>VLOOKUP(Table1[[#This Row],[Calling Node]],Nodes!A:B,2,0)</f>
        <v>_harvest_single_report</v>
      </c>
      <c r="C62" t="s">
        <v>117</v>
      </c>
      <c r="D62" t="str">
        <f>VLOOKUP(Table1[[#This Row],[Called Node]],Nodes!A:B,2,0)</f>
        <v>return_string_of_dataframe_info</v>
      </c>
      <c r="E62" s="3" t="str">
        <f>Table1[[#This Row],[Calling Node]]&amp;" -&gt; "&amp;Table1[[#This Row],[Called Node]]</f>
        <v>_harvest_single_report -&gt; return_string_of_dataframe_info</v>
      </c>
      <c r="F62">
        <f>VLOOKUP(Table1[[#This Row],[Calling Node]],Nodes!A:D,4,0)</f>
        <v>6</v>
      </c>
      <c r="G62">
        <f>VLOOKUP(Table1[[#This Row],[Calling Node]],Nodes!A:E,5,0)</f>
        <v>4</v>
      </c>
      <c r="H62">
        <f>VLOOKUP(Table1[[#This Row],[Called Node]],Nodes!A:D,4,0)</f>
        <v>22</v>
      </c>
      <c r="I62">
        <f>VLOOKUP(Table1[[#This Row],[Called Node]],Nodes!A:E,5,0)</f>
        <v>11</v>
      </c>
    </row>
    <row r="63" spans="1:9" x14ac:dyDescent="0.3">
      <c r="A63" t="s">
        <v>33</v>
      </c>
      <c r="B63" t="str">
        <f>VLOOKUP(Table1[[#This Row],[Calling Node]],Nodes!A:B,2,0)</f>
        <v>_harvest_single_report</v>
      </c>
      <c r="C63" t="s">
        <v>127</v>
      </c>
      <c r="D63" t="str">
        <f>VLOOKUP(Table1[[#This Row],[Called Node]],Nodes!A:B,2,0)</f>
        <v>save_unconverted_data_via_upload</v>
      </c>
      <c r="E63" s="3" t="str">
        <f>Table1[[#This Row],[Calling Node]]&amp;" -&gt; "&amp;Table1[[#This Row],[Called Node]]</f>
        <v>_harvest_single_report -&gt; save_unconverted_data_via_upload</v>
      </c>
      <c r="F63">
        <f>VLOOKUP(Table1[[#This Row],[Calling Node]],Nodes!A:D,4,0)</f>
        <v>6</v>
      </c>
      <c r="G63">
        <f>VLOOKUP(Table1[[#This Row],[Calling Node]],Nodes!A:E,5,0)</f>
        <v>4</v>
      </c>
      <c r="H63">
        <f>VLOOKUP(Table1[[#This Row],[Called Node]],Nodes!A:D,4,0)</f>
        <v>22</v>
      </c>
      <c r="I63">
        <f>VLOOKUP(Table1[[#This Row],[Called Node]],Nodes!A:E,5,0)</f>
        <v>21</v>
      </c>
    </row>
    <row r="64" spans="1:9" x14ac:dyDescent="0.3">
      <c r="A64" t="s">
        <v>33</v>
      </c>
      <c r="B64" t="str">
        <f>VLOOKUP(Table1[[#This Row],[Calling Node]],Nodes!A:B,2,0)</f>
        <v>_harvest_single_report</v>
      </c>
      <c r="C64" t="s">
        <v>131</v>
      </c>
      <c r="D64" t="str">
        <f>VLOOKUP(Table1[[#This Row],[Called Node]],Nodes!A:B,2,0)</f>
        <v>AWS_timestamp_format</v>
      </c>
      <c r="E64" s="3" t="str">
        <f>Table1[[#This Row],[Calling Node]]&amp;" -&gt; "&amp;Table1[[#This Row],[Called Node]]</f>
        <v>_harvest_single_report -&gt; AWS_timestamp_format</v>
      </c>
      <c r="F64">
        <f>VLOOKUP(Table1[[#This Row],[Calling Node]],Nodes!A:D,4,0)</f>
        <v>6</v>
      </c>
      <c r="G64">
        <f>VLOOKUP(Table1[[#This Row],[Calling Node]],Nodes!A:E,5,0)</f>
        <v>4</v>
      </c>
      <c r="H64">
        <f>VLOOKUP(Table1[[#This Row],[Called Node]],Nodes!A:D,4,0)</f>
        <v>22</v>
      </c>
      <c r="I64">
        <f>VLOOKUP(Table1[[#This Row],[Called Node]],Nodes!A:E,5,0)</f>
        <v>25</v>
      </c>
    </row>
    <row r="65" spans="1:9" x14ac:dyDescent="0.3">
      <c r="A65" t="s">
        <v>33</v>
      </c>
      <c r="B65" t="str">
        <f>VLOOKUP(Table1[[#This Row],[Calling Node]],Nodes!A:B,2,0)</f>
        <v>_harvest_single_report</v>
      </c>
      <c r="C65" t="s">
        <v>140</v>
      </c>
      <c r="D65" t="str">
        <f>VLOOKUP(Table1[[#This Row],[Called Node]],Nodes!A:B,2,0)</f>
        <v>unable_to_convert_SUSHI_data_to_dataframe_statement</v>
      </c>
      <c r="E65" s="3" t="str">
        <f>Table1[[#This Row],[Calling Node]]&amp;" -&gt; "&amp;Table1[[#This Row],[Called Node]]</f>
        <v>_harvest_single_report -&gt; unable_to_convert_SUSHI_data_to_dataframe_statement</v>
      </c>
      <c r="F65">
        <f>VLOOKUP(Table1[[#This Row],[Calling Node]],Nodes!A:D,4,0)</f>
        <v>6</v>
      </c>
      <c r="G65">
        <f>VLOOKUP(Table1[[#This Row],[Calling Node]],Nodes!A:E,5,0)</f>
        <v>4</v>
      </c>
      <c r="H65">
        <f>VLOOKUP(Table1[[#This Row],[Called Node]],Nodes!A:D,4,0)</f>
        <v>23</v>
      </c>
      <c r="I65">
        <f>VLOOKUP(Table1[[#This Row],[Called Node]],Nodes!A:E,5,0)</f>
        <v>6</v>
      </c>
    </row>
    <row r="66" spans="1:9" x14ac:dyDescent="0.3">
      <c r="A66" t="s">
        <v>33</v>
      </c>
      <c r="B66" t="str">
        <f>VLOOKUP(Table1[[#This Row],[Calling Node]],Nodes!A:B,2,0)</f>
        <v>_harvest_single_report</v>
      </c>
      <c r="C66" t="s">
        <v>146</v>
      </c>
      <c r="D66" t="str">
        <f>VLOOKUP(Table1[[#This Row],[Called Node]],Nodes!A:B,2,0)</f>
        <v>failed_upload_to_S3_statement</v>
      </c>
      <c r="E66" s="3" t="str">
        <f>Table1[[#This Row],[Calling Node]]&amp;" -&gt; "&amp;Table1[[#This Row],[Called Node]]</f>
        <v>_harvest_single_report -&gt; failed_upload_to_S3_statement</v>
      </c>
      <c r="F66">
        <f>VLOOKUP(Table1[[#This Row],[Calling Node]],Nodes!A:D,4,0)</f>
        <v>6</v>
      </c>
      <c r="G66">
        <f>VLOOKUP(Table1[[#This Row],[Calling Node]],Nodes!A:E,5,0)</f>
        <v>4</v>
      </c>
      <c r="H66">
        <f>VLOOKUP(Table1[[#This Row],[Called Node]],Nodes!A:D,4,0)</f>
        <v>23</v>
      </c>
      <c r="I66">
        <f>VLOOKUP(Table1[[#This Row],[Called Node]],Nodes!A:E,5,0)</f>
        <v>12</v>
      </c>
    </row>
    <row r="67" spans="1:9" x14ac:dyDescent="0.3">
      <c r="A67" t="s">
        <v>33</v>
      </c>
      <c r="B67" t="str">
        <f>VLOOKUP(Table1[[#This Row],[Calling Node]],Nodes!A:B,2,0)</f>
        <v>_harvest_single_report</v>
      </c>
      <c r="C67" t="s">
        <v>148</v>
      </c>
      <c r="D67" t="str">
        <f>VLOOKUP(Table1[[#This Row],[Called Node]],Nodes!A:B,2,0)</f>
        <v>upload_file_to_S3_bucket_success_regex</v>
      </c>
      <c r="E67" s="3" t="str">
        <f>Table1[[#This Row],[Calling Node]]&amp;" -&gt; "&amp;Table1[[#This Row],[Called Node]]</f>
        <v>_harvest_single_report -&gt; upload_file_to_S3_bucket_success_regex</v>
      </c>
      <c r="F67">
        <f>VLOOKUP(Table1[[#This Row],[Calling Node]],Nodes!A:D,4,0)</f>
        <v>6</v>
      </c>
      <c r="G67">
        <f>VLOOKUP(Table1[[#This Row],[Calling Node]],Nodes!A:E,5,0)</f>
        <v>4</v>
      </c>
      <c r="H67">
        <f>VLOOKUP(Table1[[#This Row],[Called Node]],Nodes!A:D,4,0)</f>
        <v>23</v>
      </c>
      <c r="I67">
        <f>VLOOKUP(Table1[[#This Row],[Called Node]],Nodes!A:E,5,0)</f>
        <v>14</v>
      </c>
    </row>
    <row r="68" spans="1:9" x14ac:dyDescent="0.3">
      <c r="A68" t="s">
        <v>33</v>
      </c>
      <c r="B68" t="str">
        <f>VLOOKUP(Table1[[#This Row],[Calling Node]],Nodes!A:B,2,0)</f>
        <v>_harvest_single_report</v>
      </c>
      <c r="C68" t="s">
        <v>161</v>
      </c>
      <c r="D68" t="str">
        <f>VLOOKUP(Table1[[#This Row],[Called Node]],Nodes!A:B,2,0)</f>
        <v>no_data_returned_by_SUSHI_statement</v>
      </c>
      <c r="E68" s="3" t="str">
        <f>Table1[[#This Row],[Calling Node]]&amp;" -&gt; "&amp;Table1[[#This Row],[Called Node]]</f>
        <v>_harvest_single_report -&gt; no_data_returned_by_SUSHI_statement</v>
      </c>
      <c r="F68">
        <f>VLOOKUP(Table1[[#This Row],[Calling Node]],Nodes!A:D,4,0)</f>
        <v>6</v>
      </c>
      <c r="G68">
        <f>VLOOKUP(Table1[[#This Row],[Calling Node]],Nodes!A:E,5,0)</f>
        <v>4</v>
      </c>
      <c r="H68">
        <f>VLOOKUP(Table1[[#This Row],[Called Node]],Nodes!A:D,4,0)</f>
        <v>23</v>
      </c>
      <c r="I68">
        <f>VLOOKUP(Table1[[#This Row],[Called Node]],Nodes!A:E,5,0)</f>
        <v>27</v>
      </c>
    </row>
    <row r="69" spans="1:9" x14ac:dyDescent="0.3">
      <c r="A69" t="s">
        <v>33</v>
      </c>
      <c r="B69" t="str">
        <f>VLOOKUP(Table1[[#This Row],[Calling Node]],Nodes!A:B,2,0)</f>
        <v>_harvest_single_report</v>
      </c>
      <c r="C69" t="s">
        <v>163</v>
      </c>
      <c r="D69" t="str">
        <f>VLOOKUP(Table1[[#This Row],[Called Node]],Nodes!A:B,2,0)</f>
        <v>reports_with_no_usage_regex</v>
      </c>
      <c r="E69" s="3" t="str">
        <f>Table1[[#This Row],[Calling Node]]&amp;" -&gt; "&amp;Table1[[#This Row],[Called Node]]</f>
        <v>_harvest_single_report -&gt; reports_with_no_usage_regex</v>
      </c>
      <c r="F69">
        <f>VLOOKUP(Table1[[#This Row],[Calling Node]],Nodes!A:D,4,0)</f>
        <v>6</v>
      </c>
      <c r="G69">
        <f>VLOOKUP(Table1[[#This Row],[Calling Node]],Nodes!A:E,5,0)</f>
        <v>4</v>
      </c>
      <c r="H69">
        <f>VLOOKUP(Table1[[#This Row],[Called Node]],Nodes!A:D,4,0)</f>
        <v>23</v>
      </c>
      <c r="I69">
        <f>VLOOKUP(Table1[[#This Row],[Called Node]],Nodes!A:E,5,0)</f>
        <v>29</v>
      </c>
    </row>
    <row r="70" spans="1:9" x14ac:dyDescent="0.3">
      <c r="A70" t="s">
        <v>34</v>
      </c>
      <c r="B70" t="str">
        <f>VLOOKUP(Table1[[#This Row],[Calling Node]],Nodes!A:B,2,0)</f>
        <v>_check_if_data_in_database</v>
      </c>
      <c r="C70" t="s">
        <v>123</v>
      </c>
      <c r="D70" t="str">
        <f>VLOOKUP(Table1[[#This Row],[Called Node]],Nodes!A:B,2,0)</f>
        <v>query_database</v>
      </c>
      <c r="E70" s="3" t="str">
        <f>Table1[[#This Row],[Calling Node]]&amp;" -&gt; "&amp;Table1[[#This Row],[Called Node]]</f>
        <v>_check_if_data_in_database -&gt; query_database</v>
      </c>
      <c r="F70">
        <f>VLOOKUP(Table1[[#This Row],[Calling Node]],Nodes!A:D,4,0)</f>
        <v>6</v>
      </c>
      <c r="G70">
        <f>VLOOKUP(Table1[[#This Row],[Calling Node]],Nodes!A:E,5,0)</f>
        <v>5</v>
      </c>
      <c r="H70">
        <f>VLOOKUP(Table1[[#This Row],[Called Node]],Nodes!A:D,4,0)</f>
        <v>22</v>
      </c>
      <c r="I70">
        <f>VLOOKUP(Table1[[#This Row],[Called Node]],Nodes!A:E,5,0)</f>
        <v>17</v>
      </c>
    </row>
    <row r="71" spans="1:9" x14ac:dyDescent="0.3">
      <c r="A71" t="s">
        <v>34</v>
      </c>
      <c r="B71" t="str">
        <f>VLOOKUP(Table1[[#This Row],[Calling Node]],Nodes!A:B,2,0)</f>
        <v>_check_if_data_in_database</v>
      </c>
      <c r="C71" t="s">
        <v>130</v>
      </c>
      <c r="D71" t="str">
        <f>VLOOKUP(Table1[[#This Row],[Called Node]],Nodes!A:B,2,0)</f>
        <v>extract_value_from_single_value_df</v>
      </c>
      <c r="E71" s="3" t="str">
        <f>Table1[[#This Row],[Calling Node]]&amp;" -&gt; "&amp;Table1[[#This Row],[Called Node]]</f>
        <v>_check_if_data_in_database -&gt; extract_value_from_single_value_df</v>
      </c>
      <c r="F71">
        <f>VLOOKUP(Table1[[#This Row],[Calling Node]],Nodes!A:D,4,0)</f>
        <v>6</v>
      </c>
      <c r="G71">
        <f>VLOOKUP(Table1[[#This Row],[Calling Node]],Nodes!A:E,5,0)</f>
        <v>5</v>
      </c>
      <c r="H71">
        <f>VLOOKUP(Table1[[#This Row],[Called Node]],Nodes!A:D,4,0)</f>
        <v>22</v>
      </c>
      <c r="I71">
        <f>VLOOKUP(Table1[[#This Row],[Called Node]],Nodes!A:E,5,0)</f>
        <v>24</v>
      </c>
    </row>
    <row r="72" spans="1:9" x14ac:dyDescent="0.3">
      <c r="A72" t="s">
        <v>34</v>
      </c>
      <c r="B72" t="str">
        <f>VLOOKUP(Table1[[#This Row],[Calling Node]],Nodes!A:B,2,0)</f>
        <v>_check_if_data_in_database</v>
      </c>
      <c r="C72" t="s">
        <v>150</v>
      </c>
      <c r="D72" t="str">
        <f>VLOOKUP(Table1[[#This Row],[Called Node]],Nodes!A:B,2,0)</f>
        <v>return_value_from_query_statement</v>
      </c>
      <c r="E72" s="3" t="str">
        <f>Table1[[#This Row],[Calling Node]]&amp;" -&gt; "&amp;Table1[[#This Row],[Called Node]]</f>
        <v>_check_if_data_in_database -&gt; return_value_from_query_statement</v>
      </c>
      <c r="F72">
        <f>VLOOKUP(Table1[[#This Row],[Calling Node]],Nodes!A:D,4,0)</f>
        <v>6</v>
      </c>
      <c r="G72">
        <f>VLOOKUP(Table1[[#This Row],[Calling Node]],Nodes!A:E,5,0)</f>
        <v>5</v>
      </c>
      <c r="H72">
        <f>VLOOKUP(Table1[[#This Row],[Called Node]],Nodes!A:D,4,0)</f>
        <v>23</v>
      </c>
      <c r="I72">
        <f>VLOOKUP(Table1[[#This Row],[Called Node]],Nodes!A:E,5,0)</f>
        <v>16</v>
      </c>
    </row>
    <row r="73" spans="1:9" x14ac:dyDescent="0.3">
      <c r="A73" t="s">
        <v>34</v>
      </c>
      <c r="B73" t="str">
        <f>VLOOKUP(Table1[[#This Row],[Calling Node]],Nodes!A:B,2,0)</f>
        <v>_check_if_data_in_database</v>
      </c>
      <c r="C73" t="s">
        <v>152</v>
      </c>
      <c r="D73" t="str">
        <f>VLOOKUP(Table1[[#This Row],[Called Node]],Nodes!A:B,2,0)</f>
        <v>database_query_fail_statement</v>
      </c>
      <c r="E73" s="3" t="str">
        <f>Table1[[#This Row],[Calling Node]]&amp;" -&gt; "&amp;Table1[[#This Row],[Called Node]]</f>
        <v>_check_if_data_in_database -&gt; database_query_fail_statement</v>
      </c>
      <c r="F73">
        <f>VLOOKUP(Table1[[#This Row],[Calling Node]],Nodes!A:D,4,0)</f>
        <v>6</v>
      </c>
      <c r="G73">
        <f>VLOOKUP(Table1[[#This Row],[Calling Node]],Nodes!A:E,5,0)</f>
        <v>5</v>
      </c>
      <c r="H73">
        <f>VLOOKUP(Table1[[#This Row],[Called Node]],Nodes!A:D,4,0)</f>
        <v>23</v>
      </c>
      <c r="I73">
        <f>VLOOKUP(Table1[[#This Row],[Called Node]],Nodes!A:E,5,0)</f>
        <v>18</v>
      </c>
    </row>
    <row r="74" spans="1:9" x14ac:dyDescent="0.3">
      <c r="A74" t="s">
        <v>35</v>
      </c>
      <c r="B74" t="str">
        <f>VLOOKUP(Table1[[#This Row],[Calling Node]],Nodes!A:B,2,0)</f>
        <v>collect_usage_statistics</v>
      </c>
      <c r="C74" t="s">
        <v>32</v>
      </c>
      <c r="D74" t="str">
        <f>VLOOKUP(Table1[[#This Row],[Called Node]],Nodes!A:B,2,0)</f>
        <v>_harvest_R5_SUSHI</v>
      </c>
      <c r="E74" s="3" t="str">
        <f>Table1[[#This Row],[Calling Node]]&amp;" -&gt; "&amp;Table1[[#This Row],[Called Node]]</f>
        <v>collect_usage_statistics -&gt; _harvest_R5_SUSHI</v>
      </c>
      <c r="F74">
        <f>VLOOKUP(Table1[[#This Row],[Calling Node]],Nodes!A:D,4,0)</f>
        <v>6</v>
      </c>
      <c r="G74">
        <f>VLOOKUP(Table1[[#This Row],[Calling Node]],Nodes!A:E,5,0)</f>
        <v>6</v>
      </c>
      <c r="H74">
        <f>VLOOKUP(Table1[[#This Row],[Called Node]],Nodes!A:D,4,0)</f>
        <v>6</v>
      </c>
      <c r="I74">
        <f>VLOOKUP(Table1[[#This Row],[Called Node]],Nodes!A:E,5,0)</f>
        <v>3</v>
      </c>
    </row>
    <row r="75" spans="1:9" x14ac:dyDescent="0.3">
      <c r="A75" t="s">
        <v>35</v>
      </c>
      <c r="B75" t="str">
        <f>VLOOKUP(Table1[[#This Row],[Calling Node]],Nodes!A:B,2,0)</f>
        <v>collect_usage_statistics</v>
      </c>
      <c r="C75" t="s">
        <v>116</v>
      </c>
      <c r="D75" t="str">
        <f>VLOOKUP(Table1[[#This Row],[Called Node]],Nodes!A:B,2,0)</f>
        <v>first_new_PK_value</v>
      </c>
      <c r="E75" s="3" t="str">
        <f>Table1[[#This Row],[Calling Node]]&amp;" -&gt; "&amp;Table1[[#This Row],[Called Node]]</f>
        <v>collect_usage_statistics -&gt; first_new_PK_value</v>
      </c>
      <c r="F75">
        <f>VLOOKUP(Table1[[#This Row],[Calling Node]],Nodes!A:D,4,0)</f>
        <v>6</v>
      </c>
      <c r="G75">
        <f>VLOOKUP(Table1[[#This Row],[Calling Node]],Nodes!A:E,5,0)</f>
        <v>6</v>
      </c>
      <c r="H75">
        <f>VLOOKUP(Table1[[#This Row],[Called Node]],Nodes!A:D,4,0)</f>
        <v>22</v>
      </c>
      <c r="I75">
        <f>VLOOKUP(Table1[[#This Row],[Called Node]],Nodes!A:E,5,0)</f>
        <v>10</v>
      </c>
    </row>
    <row r="76" spans="1:9" x14ac:dyDescent="0.3">
      <c r="A76" t="s">
        <v>35</v>
      </c>
      <c r="B76" t="str">
        <f>VLOOKUP(Table1[[#This Row],[Calling Node]],Nodes!A:B,2,0)</f>
        <v>collect_usage_statistics</v>
      </c>
      <c r="C76" t="s">
        <v>122</v>
      </c>
      <c r="D76" t="str">
        <f>VLOOKUP(Table1[[#This Row],[Called Node]],Nodes!A:B,2,0)</f>
        <v>load_data_into_database</v>
      </c>
      <c r="E76" s="3" t="str">
        <f>Table1[[#This Row],[Calling Node]]&amp;" -&gt; "&amp;Table1[[#This Row],[Called Node]]</f>
        <v>collect_usage_statistics -&gt; load_data_into_database</v>
      </c>
      <c r="F76">
        <f>VLOOKUP(Table1[[#This Row],[Calling Node]],Nodes!A:D,4,0)</f>
        <v>6</v>
      </c>
      <c r="G76">
        <f>VLOOKUP(Table1[[#This Row],[Calling Node]],Nodes!A:E,5,0)</f>
        <v>6</v>
      </c>
      <c r="H76">
        <f>VLOOKUP(Table1[[#This Row],[Called Node]],Nodes!A:D,4,0)</f>
        <v>22</v>
      </c>
      <c r="I76">
        <f>VLOOKUP(Table1[[#This Row],[Called Node]],Nodes!A:E,5,0)</f>
        <v>16</v>
      </c>
    </row>
    <row r="77" spans="1:9" x14ac:dyDescent="0.3">
      <c r="A77" t="s">
        <v>35</v>
      </c>
      <c r="B77" t="str">
        <f>VLOOKUP(Table1[[#This Row],[Calling Node]],Nodes!A:B,2,0)</f>
        <v>collect_usage_statistics</v>
      </c>
      <c r="C77" t="s">
        <v>141</v>
      </c>
      <c r="D77" t="str">
        <f>VLOOKUP(Table1[[#This Row],[Called Node]],Nodes!A:B,2,0)</f>
        <v>unable_to_get_updated_primary_key_values_statement</v>
      </c>
      <c r="E77" s="3" t="str">
        <f>Table1[[#This Row],[Calling Node]]&amp;" -&gt; "&amp;Table1[[#This Row],[Called Node]]</f>
        <v>collect_usage_statistics -&gt; unable_to_get_updated_primary_key_values_statement</v>
      </c>
      <c r="F77">
        <f>VLOOKUP(Table1[[#This Row],[Calling Node]],Nodes!A:D,4,0)</f>
        <v>6</v>
      </c>
      <c r="G77">
        <f>VLOOKUP(Table1[[#This Row],[Calling Node]],Nodes!A:E,5,0)</f>
        <v>6</v>
      </c>
      <c r="H77">
        <f>VLOOKUP(Table1[[#This Row],[Called Node]],Nodes!A:D,4,0)</f>
        <v>23</v>
      </c>
      <c r="I77">
        <f>VLOOKUP(Table1[[#This Row],[Called Node]],Nodes!A:E,5,0)</f>
        <v>7</v>
      </c>
    </row>
    <row r="78" spans="1:9" x14ac:dyDescent="0.3">
      <c r="A78" t="s">
        <v>35</v>
      </c>
      <c r="B78" t="str">
        <f>VLOOKUP(Table1[[#This Row],[Calling Node]],Nodes!A:B,2,0)</f>
        <v>collect_usage_statistics</v>
      </c>
      <c r="C78" t="s">
        <v>159</v>
      </c>
      <c r="D78" t="str">
        <f>VLOOKUP(Table1[[#This Row],[Called Node]],Nodes!A:B,2,0)</f>
        <v>harvest_R5_SUSHI_success_statement</v>
      </c>
      <c r="E78" s="3" t="str">
        <f>Table1[[#This Row],[Calling Node]]&amp;" -&gt; "&amp;Table1[[#This Row],[Called Node]]</f>
        <v>collect_usage_statistics -&gt; harvest_R5_SUSHI_success_statement</v>
      </c>
      <c r="F78">
        <f>VLOOKUP(Table1[[#This Row],[Calling Node]],Nodes!A:D,4,0)</f>
        <v>6</v>
      </c>
      <c r="G78">
        <f>VLOOKUP(Table1[[#This Row],[Calling Node]],Nodes!A:E,5,0)</f>
        <v>6</v>
      </c>
      <c r="H78">
        <f>VLOOKUP(Table1[[#This Row],[Called Node]],Nodes!A:D,4,0)</f>
        <v>23</v>
      </c>
      <c r="I78">
        <f>VLOOKUP(Table1[[#This Row],[Called Node]],Nodes!A:E,5,0)</f>
        <v>25</v>
      </c>
    </row>
    <row r="79" spans="1:9" x14ac:dyDescent="0.3">
      <c r="A79" t="s">
        <v>41</v>
      </c>
      <c r="B79" t="str">
        <f>VLOOKUP(Table1[[#This Row],[Calling Node]],Nodes!A:B,2,0)</f>
        <v>add_access_stop_date</v>
      </c>
      <c r="C79" t="s">
        <v>126</v>
      </c>
      <c r="D79" t="str">
        <f>VLOOKUP(Table1[[#This Row],[Called Node]],Nodes!A:B,2,0)</f>
        <v>update_database</v>
      </c>
      <c r="E79" s="3" t="str">
        <f>Table1[[#This Row],[Calling Node]]&amp;" -&gt; "&amp;Table1[[#This Row],[Called Node]]</f>
        <v>add_access_stop_date -&gt; update_database</v>
      </c>
      <c r="F79">
        <f>VLOOKUP(Table1[[#This Row],[Calling Node]],Nodes!A:D,4,0)</f>
        <v>8</v>
      </c>
      <c r="G79">
        <f>VLOOKUP(Table1[[#This Row],[Calling Node]],Nodes!A:E,5,0)</f>
        <v>2</v>
      </c>
      <c r="H79">
        <f>VLOOKUP(Table1[[#This Row],[Called Node]],Nodes!A:D,4,0)</f>
        <v>22</v>
      </c>
      <c r="I79">
        <f>VLOOKUP(Table1[[#This Row],[Called Node]],Nodes!A:E,5,0)</f>
        <v>20</v>
      </c>
    </row>
    <row r="80" spans="1:9" x14ac:dyDescent="0.3">
      <c r="A80" t="s">
        <v>41</v>
      </c>
      <c r="B80" t="str">
        <f>VLOOKUP(Table1[[#This Row],[Calling Node]],Nodes!A:B,2,0)</f>
        <v>add_access_stop_date</v>
      </c>
      <c r="C80" t="s">
        <v>153</v>
      </c>
      <c r="D80" t="str">
        <f>VLOOKUP(Table1[[#This Row],[Called Node]],Nodes!A:B,2,0)</f>
        <v>database_update_fail_statement</v>
      </c>
      <c r="E80" s="3" t="str">
        <f>Table1[[#This Row],[Calling Node]]&amp;" -&gt; "&amp;Table1[[#This Row],[Called Node]]</f>
        <v>add_access_stop_date -&gt; database_update_fail_statement</v>
      </c>
      <c r="F80">
        <f>VLOOKUP(Table1[[#This Row],[Calling Node]],Nodes!A:D,4,0)</f>
        <v>8</v>
      </c>
      <c r="G80">
        <f>VLOOKUP(Table1[[#This Row],[Calling Node]],Nodes!A:E,5,0)</f>
        <v>2</v>
      </c>
      <c r="H80">
        <f>VLOOKUP(Table1[[#This Row],[Called Node]],Nodes!A:D,4,0)</f>
        <v>23</v>
      </c>
      <c r="I80">
        <f>VLOOKUP(Table1[[#This Row],[Called Node]],Nodes!A:E,5,0)</f>
        <v>19</v>
      </c>
    </row>
    <row r="81" spans="1:9" x14ac:dyDescent="0.3">
      <c r="A81" t="s">
        <v>41</v>
      </c>
      <c r="B81" t="str">
        <f>VLOOKUP(Table1[[#This Row],[Calling Node]],Nodes!A:B,2,0)</f>
        <v>add_access_stop_date</v>
      </c>
      <c r="C81" t="s">
        <v>157</v>
      </c>
      <c r="D81" t="str">
        <f>VLOOKUP(Table1[[#This Row],[Called Node]],Nodes!A:B,2,0)</f>
        <v>update_database_success_regex</v>
      </c>
      <c r="E81" s="3" t="str">
        <f>Table1[[#This Row],[Calling Node]]&amp;" -&gt; "&amp;Table1[[#This Row],[Called Node]]</f>
        <v>add_access_stop_date -&gt; update_database_success_regex</v>
      </c>
      <c r="F81">
        <f>VLOOKUP(Table1[[#This Row],[Calling Node]],Nodes!A:D,4,0)</f>
        <v>8</v>
      </c>
      <c r="G81">
        <f>VLOOKUP(Table1[[#This Row],[Calling Node]],Nodes!A:E,5,0)</f>
        <v>2</v>
      </c>
      <c r="H81">
        <f>VLOOKUP(Table1[[#This Row],[Called Node]],Nodes!A:D,4,0)</f>
        <v>23</v>
      </c>
      <c r="I81">
        <f>VLOOKUP(Table1[[#This Row],[Called Node]],Nodes!A:E,5,0)</f>
        <v>23</v>
      </c>
    </row>
    <row r="82" spans="1:9" x14ac:dyDescent="0.3">
      <c r="A82" t="s">
        <v>42</v>
      </c>
      <c r="B82" t="str">
        <f>VLOOKUP(Table1[[#This Row],[Calling Node]],Nodes!A:B,2,0)</f>
        <v>remove_access_stop_date</v>
      </c>
      <c r="C82" t="s">
        <v>126</v>
      </c>
      <c r="D82" t="str">
        <f>VLOOKUP(Table1[[#This Row],[Called Node]],Nodes!A:B,2,0)</f>
        <v>update_database</v>
      </c>
      <c r="E82" s="3" t="str">
        <f>Table1[[#This Row],[Calling Node]]&amp;" -&gt; "&amp;Table1[[#This Row],[Called Node]]</f>
        <v>remove_access_stop_date -&gt; update_database</v>
      </c>
      <c r="F82">
        <f>VLOOKUP(Table1[[#This Row],[Calling Node]],Nodes!A:D,4,0)</f>
        <v>8</v>
      </c>
      <c r="G82">
        <f>VLOOKUP(Table1[[#This Row],[Calling Node]],Nodes!A:E,5,0)</f>
        <v>3</v>
      </c>
      <c r="H82">
        <f>VLOOKUP(Table1[[#This Row],[Called Node]],Nodes!A:D,4,0)</f>
        <v>22</v>
      </c>
      <c r="I82">
        <f>VLOOKUP(Table1[[#This Row],[Called Node]],Nodes!A:E,5,0)</f>
        <v>20</v>
      </c>
    </row>
    <row r="83" spans="1:9" x14ac:dyDescent="0.3">
      <c r="A83" t="s">
        <v>42</v>
      </c>
      <c r="B83" t="str">
        <f>VLOOKUP(Table1[[#This Row],[Calling Node]],Nodes!A:B,2,0)</f>
        <v>remove_access_stop_date</v>
      </c>
      <c r="C83" t="s">
        <v>153</v>
      </c>
      <c r="D83" t="str">
        <f>VLOOKUP(Table1[[#This Row],[Called Node]],Nodes!A:B,2,0)</f>
        <v>database_update_fail_statement</v>
      </c>
      <c r="E83" s="3" t="str">
        <f>Table1[[#This Row],[Calling Node]]&amp;" -&gt; "&amp;Table1[[#This Row],[Called Node]]</f>
        <v>remove_access_stop_date -&gt; database_update_fail_statement</v>
      </c>
      <c r="F83">
        <f>VLOOKUP(Table1[[#This Row],[Calling Node]],Nodes!A:D,4,0)</f>
        <v>8</v>
      </c>
      <c r="G83">
        <f>VLOOKUP(Table1[[#This Row],[Calling Node]],Nodes!A:E,5,0)</f>
        <v>3</v>
      </c>
      <c r="H83">
        <f>VLOOKUP(Table1[[#This Row],[Called Node]],Nodes!A:D,4,0)</f>
        <v>23</v>
      </c>
      <c r="I83">
        <f>VLOOKUP(Table1[[#This Row],[Called Node]],Nodes!A:E,5,0)</f>
        <v>19</v>
      </c>
    </row>
    <row r="84" spans="1:9" x14ac:dyDescent="0.3">
      <c r="A84" t="s">
        <v>42</v>
      </c>
      <c r="B84" t="str">
        <f>VLOOKUP(Table1[[#This Row],[Calling Node]],Nodes!A:B,2,0)</f>
        <v>remove_access_stop_date</v>
      </c>
      <c r="C84" t="s">
        <v>157</v>
      </c>
      <c r="D84" t="str">
        <f>VLOOKUP(Table1[[#This Row],[Called Node]],Nodes!A:B,2,0)</f>
        <v>update_database_success_regex</v>
      </c>
      <c r="E84" s="3" t="str">
        <f>Table1[[#This Row],[Calling Node]]&amp;" -&gt; "&amp;Table1[[#This Row],[Called Node]]</f>
        <v>remove_access_stop_date -&gt; update_database_success_regex</v>
      </c>
      <c r="F84">
        <f>VLOOKUP(Table1[[#This Row],[Calling Node]],Nodes!A:D,4,0)</f>
        <v>8</v>
      </c>
      <c r="G84">
        <f>VLOOKUP(Table1[[#This Row],[Calling Node]],Nodes!A:E,5,0)</f>
        <v>3</v>
      </c>
      <c r="H84">
        <f>VLOOKUP(Table1[[#This Row],[Called Node]],Nodes!A:D,4,0)</f>
        <v>23</v>
      </c>
      <c r="I84">
        <f>VLOOKUP(Table1[[#This Row],[Called Node]],Nodes!A:E,5,0)</f>
        <v>23</v>
      </c>
    </row>
    <row r="85" spans="1:9" x14ac:dyDescent="0.3">
      <c r="A85" t="s">
        <v>43</v>
      </c>
      <c r="B85" t="str">
        <f>VLOOKUP(Table1[[#This Row],[Calling Node]],Nodes!A:B,2,0)</f>
        <v>change_StatisticsSource</v>
      </c>
      <c r="C85" t="s">
        <v>48</v>
      </c>
      <c r="D85" s="2" t="str">
        <f>VLOOKUP(Table1[[#This Row],[Called Node]],Nodes!A:B,2,0)</f>
        <v>state_data_types</v>
      </c>
      <c r="E85" s="3" t="str">
        <f>Table1[[#This Row],[Calling Node]]&amp;" -&gt; "&amp;Table1[[#This Row],[Called Node]]</f>
        <v>change_StatisticsSource -&gt; state_data_types_in_statisticsResourceSources</v>
      </c>
      <c r="F85">
        <f>VLOOKUP(Table1[[#This Row],[Calling Node]],Nodes!A:D,4,0)</f>
        <v>8</v>
      </c>
      <c r="G85">
        <f>VLOOKUP(Table1[[#This Row],[Calling Node]],Nodes!A:E,5,0)</f>
        <v>4</v>
      </c>
      <c r="H85">
        <f>VLOOKUP(Table1[[#This Row],[Called Node]],Nodes!A:D,4,0)</f>
        <v>10</v>
      </c>
      <c r="I85">
        <f>VLOOKUP(Table1[[#This Row],[Called Node]],Nodes!A:E,5,0)</f>
        <v>1</v>
      </c>
    </row>
    <row r="86" spans="1:9" x14ac:dyDescent="0.3">
      <c r="A86" t="s">
        <v>43</v>
      </c>
      <c r="B86" t="str">
        <f>VLOOKUP(Table1[[#This Row],[Calling Node]],Nodes!A:B,2,0)</f>
        <v>change_StatisticsSource</v>
      </c>
      <c r="C86" t="s">
        <v>122</v>
      </c>
      <c r="D86" t="str">
        <f>VLOOKUP(Table1[[#This Row],[Called Node]],Nodes!A:B,2,0)</f>
        <v>load_data_into_database</v>
      </c>
      <c r="E86" s="3" t="str">
        <f>Table1[[#This Row],[Calling Node]]&amp;" -&gt; "&amp;Table1[[#This Row],[Called Node]]</f>
        <v>change_StatisticsSource -&gt; load_data_into_database</v>
      </c>
      <c r="F86">
        <f>VLOOKUP(Table1[[#This Row],[Calling Node]],Nodes!A:D,4,0)</f>
        <v>8</v>
      </c>
      <c r="G86">
        <f>VLOOKUP(Table1[[#This Row],[Calling Node]],Nodes!A:E,5,0)</f>
        <v>4</v>
      </c>
      <c r="H86">
        <f>VLOOKUP(Table1[[#This Row],[Called Node]],Nodes!A:D,4,0)</f>
        <v>22</v>
      </c>
      <c r="I86">
        <f>VLOOKUP(Table1[[#This Row],[Called Node]],Nodes!A:E,5,0)</f>
        <v>16</v>
      </c>
    </row>
    <row r="87" spans="1:9" x14ac:dyDescent="0.3">
      <c r="A87" t="s">
        <v>43</v>
      </c>
      <c r="B87" t="str">
        <f>VLOOKUP(Table1[[#This Row],[Calling Node]],Nodes!A:B,2,0)</f>
        <v>change_StatisticsSource</v>
      </c>
      <c r="C87" t="s">
        <v>123</v>
      </c>
      <c r="D87" t="str">
        <f>VLOOKUP(Table1[[#This Row],[Called Node]],Nodes!A:B,2,0)</f>
        <v>query_database</v>
      </c>
      <c r="E87" s="3" t="str">
        <f>Table1[[#This Row],[Calling Node]]&amp;" -&gt; "&amp;Table1[[#This Row],[Called Node]]</f>
        <v>change_StatisticsSource -&gt; query_database</v>
      </c>
      <c r="F87">
        <f>VLOOKUP(Table1[[#This Row],[Calling Node]],Nodes!A:D,4,0)</f>
        <v>8</v>
      </c>
      <c r="G87">
        <f>VLOOKUP(Table1[[#This Row],[Calling Node]],Nodes!A:E,5,0)</f>
        <v>4</v>
      </c>
      <c r="H87">
        <f>VLOOKUP(Table1[[#This Row],[Called Node]],Nodes!A:D,4,0)</f>
        <v>22</v>
      </c>
      <c r="I87">
        <f>VLOOKUP(Table1[[#This Row],[Called Node]],Nodes!A:E,5,0)</f>
        <v>17</v>
      </c>
    </row>
    <row r="88" spans="1:9" x14ac:dyDescent="0.3">
      <c r="A88" t="s">
        <v>43</v>
      </c>
      <c r="B88" t="str">
        <f>VLOOKUP(Table1[[#This Row],[Calling Node]],Nodes!A:B,2,0)</f>
        <v>change_StatisticsSource</v>
      </c>
      <c r="C88" t="s">
        <v>126</v>
      </c>
      <c r="D88" t="str">
        <f>VLOOKUP(Table1[[#This Row],[Called Node]],Nodes!A:B,2,0)</f>
        <v>update_database</v>
      </c>
      <c r="E88" s="3" t="str">
        <f>Table1[[#This Row],[Calling Node]]&amp;" -&gt; "&amp;Table1[[#This Row],[Called Node]]</f>
        <v>change_StatisticsSource -&gt; update_database</v>
      </c>
      <c r="F88">
        <f>VLOOKUP(Table1[[#This Row],[Calling Node]],Nodes!A:D,4,0)</f>
        <v>8</v>
      </c>
      <c r="G88">
        <f>VLOOKUP(Table1[[#This Row],[Calling Node]],Nodes!A:E,5,0)</f>
        <v>4</v>
      </c>
      <c r="H88">
        <f>VLOOKUP(Table1[[#This Row],[Called Node]],Nodes!A:D,4,0)</f>
        <v>22</v>
      </c>
      <c r="I88">
        <f>VLOOKUP(Table1[[#This Row],[Called Node]],Nodes!A:E,5,0)</f>
        <v>20</v>
      </c>
    </row>
    <row r="89" spans="1:9" x14ac:dyDescent="0.3">
      <c r="A89" t="s">
        <v>43</v>
      </c>
      <c r="B89" t="str">
        <f>VLOOKUP(Table1[[#This Row],[Calling Node]],Nodes!A:B,2,0)</f>
        <v>change_StatisticsSource</v>
      </c>
      <c r="C89" t="s">
        <v>152</v>
      </c>
      <c r="D89" t="str">
        <f>VLOOKUP(Table1[[#This Row],[Called Node]],Nodes!A:B,2,0)</f>
        <v>database_query_fail_statement</v>
      </c>
      <c r="E89" s="3" t="str">
        <f>Table1[[#This Row],[Calling Node]]&amp;" -&gt; "&amp;Table1[[#This Row],[Called Node]]</f>
        <v>change_StatisticsSource -&gt; database_query_fail_statement</v>
      </c>
      <c r="F89">
        <f>VLOOKUP(Table1[[#This Row],[Calling Node]],Nodes!A:D,4,0)</f>
        <v>8</v>
      </c>
      <c r="G89">
        <f>VLOOKUP(Table1[[#This Row],[Calling Node]],Nodes!A:E,5,0)</f>
        <v>4</v>
      </c>
      <c r="H89">
        <f>VLOOKUP(Table1[[#This Row],[Called Node]],Nodes!A:D,4,0)</f>
        <v>23</v>
      </c>
      <c r="I89">
        <f>VLOOKUP(Table1[[#This Row],[Called Node]],Nodes!A:E,5,0)</f>
        <v>18</v>
      </c>
    </row>
    <row r="90" spans="1:9" x14ac:dyDescent="0.3">
      <c r="A90" t="s">
        <v>43</v>
      </c>
      <c r="B90" t="str">
        <f>VLOOKUP(Table1[[#This Row],[Calling Node]],Nodes!A:B,2,0)</f>
        <v>change_StatisticsSource</v>
      </c>
      <c r="C90" t="s">
        <v>153</v>
      </c>
      <c r="D90" t="str">
        <f>VLOOKUP(Table1[[#This Row],[Called Node]],Nodes!A:B,2,0)</f>
        <v>database_update_fail_statement</v>
      </c>
      <c r="E90" s="3" t="str">
        <f>Table1[[#This Row],[Calling Node]]&amp;" -&gt; "&amp;Table1[[#This Row],[Called Node]]</f>
        <v>change_StatisticsSource -&gt; database_update_fail_statement</v>
      </c>
      <c r="F90">
        <f>VLOOKUP(Table1[[#This Row],[Calling Node]],Nodes!A:D,4,0)</f>
        <v>8</v>
      </c>
      <c r="G90">
        <f>VLOOKUP(Table1[[#This Row],[Calling Node]],Nodes!A:E,5,0)</f>
        <v>4</v>
      </c>
      <c r="H90">
        <f>VLOOKUP(Table1[[#This Row],[Called Node]],Nodes!A:D,4,0)</f>
        <v>23</v>
      </c>
      <c r="I90">
        <f>VLOOKUP(Table1[[#This Row],[Called Node]],Nodes!A:E,5,0)</f>
        <v>19</v>
      </c>
    </row>
    <row r="91" spans="1:9" x14ac:dyDescent="0.3">
      <c r="A91" t="s">
        <v>43</v>
      </c>
      <c r="B91" t="str">
        <f>VLOOKUP(Table1[[#This Row],[Calling Node]],Nodes!A:B,2,0)</f>
        <v>change_StatisticsSource</v>
      </c>
      <c r="C91" t="s">
        <v>157</v>
      </c>
      <c r="D91" t="str">
        <f>VLOOKUP(Table1[[#This Row],[Called Node]],Nodes!A:B,2,0)</f>
        <v>update_database_success_regex</v>
      </c>
      <c r="E91" s="3" t="str">
        <f>Table1[[#This Row],[Calling Node]]&amp;" -&gt; "&amp;Table1[[#This Row],[Called Node]]</f>
        <v>change_StatisticsSource -&gt; update_database_success_regex</v>
      </c>
      <c r="F91">
        <f>VLOOKUP(Table1[[#This Row],[Calling Node]],Nodes!A:D,4,0)</f>
        <v>8</v>
      </c>
      <c r="G91">
        <f>VLOOKUP(Table1[[#This Row],[Calling Node]],Nodes!A:E,5,0)</f>
        <v>4</v>
      </c>
      <c r="H91">
        <f>VLOOKUP(Table1[[#This Row],[Called Node]],Nodes!A:D,4,0)</f>
        <v>23</v>
      </c>
      <c r="I91">
        <f>VLOOKUP(Table1[[#This Row],[Called Node]],Nodes!A:E,5,0)</f>
        <v>23</v>
      </c>
    </row>
    <row r="92" spans="1:9" x14ac:dyDescent="0.3">
      <c r="A92" t="s">
        <v>51</v>
      </c>
      <c r="B92" t="str">
        <f>VLOOKUP(Table1[[#This Row],[Calling Node]],Nodes!A:B,2,0)</f>
        <v>collect_annual_usage_statistics</v>
      </c>
      <c r="C92" t="s">
        <v>32</v>
      </c>
      <c r="D92" t="str">
        <f>VLOOKUP(Table1[[#This Row],[Called Node]],Nodes!A:B,2,0)</f>
        <v>_harvest_R5_SUSHI</v>
      </c>
      <c r="E92" s="3" t="str">
        <f>Table1[[#This Row],[Calling Node]]&amp;" -&gt; "&amp;Table1[[#This Row],[Called Node]]</f>
        <v>collect_annual_usage_statistics -&gt; _harvest_R5_SUSHI</v>
      </c>
      <c r="F92">
        <f>VLOOKUP(Table1[[#This Row],[Calling Node]],Nodes!A:D,4,0)</f>
        <v>11</v>
      </c>
      <c r="G92">
        <f>VLOOKUP(Table1[[#This Row],[Calling Node]],Nodes!A:E,5,0)</f>
        <v>2</v>
      </c>
      <c r="H92">
        <f>VLOOKUP(Table1[[#This Row],[Called Node]],Nodes!A:D,4,0)</f>
        <v>6</v>
      </c>
      <c r="I92">
        <f>VLOOKUP(Table1[[#This Row],[Called Node]],Nodes!A:E,5,0)</f>
        <v>3</v>
      </c>
    </row>
    <row r="93" spans="1:9" x14ac:dyDescent="0.3">
      <c r="A93" t="s">
        <v>51</v>
      </c>
      <c r="B93" t="str">
        <f>VLOOKUP(Table1[[#This Row],[Calling Node]],Nodes!A:B,2,0)</f>
        <v>collect_annual_usage_statistics</v>
      </c>
      <c r="C93" t="s">
        <v>116</v>
      </c>
      <c r="D93" t="str">
        <f>VLOOKUP(Table1[[#This Row],[Called Node]],Nodes!A:B,2,0)</f>
        <v>first_new_PK_value</v>
      </c>
      <c r="E93" s="3" t="str">
        <f>Table1[[#This Row],[Calling Node]]&amp;" -&gt; "&amp;Table1[[#This Row],[Called Node]]</f>
        <v>collect_annual_usage_statistics -&gt; first_new_PK_value</v>
      </c>
      <c r="F93">
        <f>VLOOKUP(Table1[[#This Row],[Calling Node]],Nodes!A:D,4,0)</f>
        <v>11</v>
      </c>
      <c r="G93">
        <f>VLOOKUP(Table1[[#This Row],[Calling Node]],Nodes!A:E,5,0)</f>
        <v>2</v>
      </c>
      <c r="H93">
        <f>VLOOKUP(Table1[[#This Row],[Called Node]],Nodes!A:D,4,0)</f>
        <v>22</v>
      </c>
      <c r="I93">
        <f>VLOOKUP(Table1[[#This Row],[Called Node]],Nodes!A:E,5,0)</f>
        <v>10</v>
      </c>
    </row>
    <row r="94" spans="1:9" x14ac:dyDescent="0.3">
      <c r="A94" t="s">
        <v>51</v>
      </c>
      <c r="B94" t="str">
        <f>VLOOKUP(Table1[[#This Row],[Calling Node]],Nodes!A:B,2,0)</f>
        <v>collect_annual_usage_statistics</v>
      </c>
      <c r="C94" t="s">
        <v>122</v>
      </c>
      <c r="D94" t="str">
        <f>VLOOKUP(Table1[[#This Row],[Called Node]],Nodes!A:B,2,0)</f>
        <v>load_data_into_database</v>
      </c>
      <c r="E94" s="3" t="str">
        <f>Table1[[#This Row],[Calling Node]]&amp;" -&gt; "&amp;Table1[[#This Row],[Called Node]]</f>
        <v>collect_annual_usage_statistics -&gt; load_data_into_database</v>
      </c>
      <c r="F94">
        <f>VLOOKUP(Table1[[#This Row],[Calling Node]],Nodes!A:D,4,0)</f>
        <v>11</v>
      </c>
      <c r="G94">
        <f>VLOOKUP(Table1[[#This Row],[Calling Node]],Nodes!A:E,5,0)</f>
        <v>2</v>
      </c>
      <c r="H94">
        <f>VLOOKUP(Table1[[#This Row],[Called Node]],Nodes!A:D,4,0)</f>
        <v>22</v>
      </c>
      <c r="I94">
        <f>VLOOKUP(Table1[[#This Row],[Called Node]],Nodes!A:E,5,0)</f>
        <v>16</v>
      </c>
    </row>
    <row r="95" spans="1:9" x14ac:dyDescent="0.3">
      <c r="A95" t="s">
        <v>51</v>
      </c>
      <c r="B95" t="str">
        <f>VLOOKUP(Table1[[#This Row],[Calling Node]],Nodes!A:B,2,0)</f>
        <v>collect_annual_usage_statistics</v>
      </c>
      <c r="C95" t="s">
        <v>123</v>
      </c>
      <c r="D95" t="str">
        <f>VLOOKUP(Table1[[#This Row],[Called Node]],Nodes!A:B,2,0)</f>
        <v>query_database</v>
      </c>
      <c r="E95" s="3" t="str">
        <f>Table1[[#This Row],[Calling Node]]&amp;" -&gt; "&amp;Table1[[#This Row],[Called Node]]</f>
        <v>collect_annual_usage_statistics -&gt; query_database</v>
      </c>
      <c r="F95">
        <f>VLOOKUP(Table1[[#This Row],[Calling Node]],Nodes!A:D,4,0)</f>
        <v>11</v>
      </c>
      <c r="G95">
        <f>VLOOKUP(Table1[[#This Row],[Calling Node]],Nodes!A:E,5,0)</f>
        <v>2</v>
      </c>
      <c r="H95">
        <f>VLOOKUP(Table1[[#This Row],[Called Node]],Nodes!A:D,4,0)</f>
        <v>22</v>
      </c>
      <c r="I95">
        <f>VLOOKUP(Table1[[#This Row],[Called Node]],Nodes!A:E,5,0)</f>
        <v>17</v>
      </c>
    </row>
    <row r="96" spans="1:9" x14ac:dyDescent="0.3">
      <c r="A96" t="s">
        <v>51</v>
      </c>
      <c r="B96" t="str">
        <f>VLOOKUP(Table1[[#This Row],[Calling Node]],Nodes!A:B,2,0)</f>
        <v>collect_annual_usage_statistics</v>
      </c>
      <c r="C96" t="s">
        <v>126</v>
      </c>
      <c r="D96" t="str">
        <f>VLOOKUP(Table1[[#This Row],[Called Node]],Nodes!A:B,2,0)</f>
        <v>update_database</v>
      </c>
      <c r="E96" s="3" t="str">
        <f>Table1[[#This Row],[Calling Node]]&amp;" -&gt; "&amp;Table1[[#This Row],[Called Node]]</f>
        <v>collect_annual_usage_statistics -&gt; update_database</v>
      </c>
      <c r="F96">
        <f>VLOOKUP(Table1[[#This Row],[Calling Node]],Nodes!A:D,4,0)</f>
        <v>11</v>
      </c>
      <c r="G96">
        <f>VLOOKUP(Table1[[#This Row],[Calling Node]],Nodes!A:E,5,0)</f>
        <v>2</v>
      </c>
      <c r="H96">
        <f>VLOOKUP(Table1[[#This Row],[Called Node]],Nodes!A:D,4,0)</f>
        <v>22</v>
      </c>
      <c r="I96">
        <f>VLOOKUP(Table1[[#This Row],[Called Node]],Nodes!A:E,5,0)</f>
        <v>20</v>
      </c>
    </row>
    <row r="97" spans="1:9" x14ac:dyDescent="0.3">
      <c r="A97" t="s">
        <v>51</v>
      </c>
      <c r="B97" t="str">
        <f>VLOOKUP(Table1[[#This Row],[Calling Node]],Nodes!A:B,2,0)</f>
        <v>collect_annual_usage_statistics</v>
      </c>
      <c r="C97" t="s">
        <v>138</v>
      </c>
      <c r="D97" t="str">
        <f>VLOOKUP(Table1[[#This Row],[Called Node]],Nodes!A:B,2,0)</f>
        <v>initialize_relation_class_object_statement</v>
      </c>
      <c r="E97" s="3" t="str">
        <f>Table1[[#This Row],[Calling Node]]&amp;" -&gt; "&amp;Table1[[#This Row],[Called Node]]</f>
        <v>collect_annual_usage_statistics -&gt; initialize_relation_class_object_statement</v>
      </c>
      <c r="F97">
        <f>VLOOKUP(Table1[[#This Row],[Calling Node]],Nodes!A:D,4,0)</f>
        <v>11</v>
      </c>
      <c r="G97">
        <f>VLOOKUP(Table1[[#This Row],[Calling Node]],Nodes!A:E,5,0)</f>
        <v>2</v>
      </c>
      <c r="H97">
        <f>VLOOKUP(Table1[[#This Row],[Called Node]],Nodes!A:D,4,0)</f>
        <v>23</v>
      </c>
      <c r="I97">
        <f>VLOOKUP(Table1[[#This Row],[Called Node]],Nodes!A:E,5,0)</f>
        <v>4</v>
      </c>
    </row>
    <row r="98" spans="1:9" x14ac:dyDescent="0.3">
      <c r="A98" t="s">
        <v>51</v>
      </c>
      <c r="B98" t="str">
        <f>VLOOKUP(Table1[[#This Row],[Calling Node]],Nodes!A:B,2,0)</f>
        <v>collect_annual_usage_statistics</v>
      </c>
      <c r="C98" t="s">
        <v>141</v>
      </c>
      <c r="D98" t="str">
        <f>VLOOKUP(Table1[[#This Row],[Called Node]],Nodes!A:B,2,0)</f>
        <v>unable_to_get_updated_primary_key_values_statement</v>
      </c>
      <c r="E98" s="3" t="str">
        <f>Table1[[#This Row],[Calling Node]]&amp;" -&gt; "&amp;Table1[[#This Row],[Called Node]]</f>
        <v>collect_annual_usage_statistics -&gt; unable_to_get_updated_primary_key_values_statement</v>
      </c>
      <c r="F98">
        <f>VLOOKUP(Table1[[#This Row],[Calling Node]],Nodes!A:D,4,0)</f>
        <v>11</v>
      </c>
      <c r="G98">
        <f>VLOOKUP(Table1[[#This Row],[Calling Node]],Nodes!A:E,5,0)</f>
        <v>2</v>
      </c>
      <c r="H98">
        <f>VLOOKUP(Table1[[#This Row],[Called Node]],Nodes!A:D,4,0)</f>
        <v>23</v>
      </c>
      <c r="I98">
        <f>VLOOKUP(Table1[[#This Row],[Called Node]],Nodes!A:E,5,0)</f>
        <v>7</v>
      </c>
    </row>
    <row r="99" spans="1:9" x14ac:dyDescent="0.3">
      <c r="A99" t="s">
        <v>51</v>
      </c>
      <c r="B99" t="str">
        <f>VLOOKUP(Table1[[#This Row],[Calling Node]],Nodes!A:B,2,0)</f>
        <v>collect_annual_usage_statistics</v>
      </c>
      <c r="C99" t="s">
        <v>150</v>
      </c>
      <c r="D99" t="str">
        <f>VLOOKUP(Table1[[#This Row],[Called Node]],Nodes!A:B,2,0)</f>
        <v>return_value_from_query_statement</v>
      </c>
      <c r="E99" s="3" t="str">
        <f>Table1[[#This Row],[Calling Node]]&amp;" -&gt; "&amp;Table1[[#This Row],[Called Node]]</f>
        <v>collect_annual_usage_statistics -&gt; return_value_from_query_statement</v>
      </c>
      <c r="F99">
        <f>VLOOKUP(Table1[[#This Row],[Calling Node]],Nodes!A:D,4,0)</f>
        <v>11</v>
      </c>
      <c r="G99">
        <f>VLOOKUP(Table1[[#This Row],[Calling Node]],Nodes!A:E,5,0)</f>
        <v>2</v>
      </c>
      <c r="H99">
        <f>VLOOKUP(Table1[[#This Row],[Called Node]],Nodes!A:D,4,0)</f>
        <v>23</v>
      </c>
      <c r="I99">
        <f>VLOOKUP(Table1[[#This Row],[Called Node]],Nodes!A:E,5,0)</f>
        <v>16</v>
      </c>
    </row>
    <row r="100" spans="1:9" x14ac:dyDescent="0.3">
      <c r="A100" t="s">
        <v>51</v>
      </c>
      <c r="B100" t="str">
        <f>VLOOKUP(Table1[[#This Row],[Calling Node]],Nodes!A:B,2,0)</f>
        <v>collect_annual_usage_statistics</v>
      </c>
      <c r="C100" t="s">
        <v>152</v>
      </c>
      <c r="D100" t="str">
        <f>VLOOKUP(Table1[[#This Row],[Called Node]],Nodes!A:B,2,0)</f>
        <v>database_query_fail_statement</v>
      </c>
      <c r="E100" s="3" t="str">
        <f>Table1[[#This Row],[Calling Node]]&amp;" -&gt; "&amp;Table1[[#This Row],[Called Node]]</f>
        <v>collect_annual_usage_statistics -&gt; database_query_fail_statement</v>
      </c>
      <c r="F100">
        <f>VLOOKUP(Table1[[#This Row],[Calling Node]],Nodes!A:D,4,0)</f>
        <v>11</v>
      </c>
      <c r="G100">
        <f>VLOOKUP(Table1[[#This Row],[Calling Node]],Nodes!A:E,5,0)</f>
        <v>2</v>
      </c>
      <c r="H100">
        <f>VLOOKUP(Table1[[#This Row],[Called Node]],Nodes!A:D,4,0)</f>
        <v>23</v>
      </c>
      <c r="I100">
        <f>VLOOKUP(Table1[[#This Row],[Called Node]],Nodes!A:E,5,0)</f>
        <v>18</v>
      </c>
    </row>
    <row r="101" spans="1:9" x14ac:dyDescent="0.3">
      <c r="A101" t="s">
        <v>51</v>
      </c>
      <c r="B101" t="str">
        <f>VLOOKUP(Table1[[#This Row],[Calling Node]],Nodes!A:B,2,0)</f>
        <v>collect_annual_usage_statistics</v>
      </c>
      <c r="C101" t="s">
        <v>154</v>
      </c>
      <c r="D101" t="str">
        <f>VLOOKUP(Table1[[#This Row],[Called Node]],Nodes!A:B,2,0)</f>
        <v>add_data_success_and_update_database_fail_statement</v>
      </c>
      <c r="E101" s="3" t="str">
        <f>Table1[[#This Row],[Calling Node]]&amp;" -&gt; "&amp;Table1[[#This Row],[Called Node]]</f>
        <v>collect_annual_usage_statistics -&gt; add_data_success_and_update_database_fail_statement</v>
      </c>
      <c r="F101">
        <f>VLOOKUP(Table1[[#This Row],[Calling Node]],Nodes!A:D,4,0)</f>
        <v>11</v>
      </c>
      <c r="G101">
        <f>VLOOKUP(Table1[[#This Row],[Calling Node]],Nodes!A:E,5,0)</f>
        <v>2</v>
      </c>
      <c r="H101">
        <f>VLOOKUP(Table1[[#This Row],[Called Node]],Nodes!A:D,4,0)</f>
        <v>23</v>
      </c>
      <c r="I101">
        <f>VLOOKUP(Table1[[#This Row],[Called Node]],Nodes!A:E,5,0)</f>
        <v>20</v>
      </c>
    </row>
    <row r="102" spans="1:9" x14ac:dyDescent="0.3">
      <c r="A102" t="s">
        <v>51</v>
      </c>
      <c r="B102" t="str">
        <f>VLOOKUP(Table1[[#This Row],[Calling Node]],Nodes!A:B,2,0)</f>
        <v>collect_annual_usage_statistics</v>
      </c>
      <c r="C102" t="s">
        <v>156</v>
      </c>
      <c r="D102" t="str">
        <f>VLOOKUP(Table1[[#This Row],[Called Node]],Nodes!A:B,2,0)</f>
        <v>load_data_into_database_success_regex</v>
      </c>
      <c r="E102" s="3" t="str">
        <f>Table1[[#This Row],[Calling Node]]&amp;" -&gt; "&amp;Table1[[#This Row],[Called Node]]</f>
        <v>collect_annual_usage_statistics -&gt; load_data_into_database_success_regex</v>
      </c>
      <c r="F102">
        <f>VLOOKUP(Table1[[#This Row],[Calling Node]],Nodes!A:D,4,0)</f>
        <v>11</v>
      </c>
      <c r="G102">
        <f>VLOOKUP(Table1[[#This Row],[Calling Node]],Nodes!A:E,5,0)</f>
        <v>2</v>
      </c>
      <c r="H102">
        <f>VLOOKUP(Table1[[#This Row],[Called Node]],Nodes!A:D,4,0)</f>
        <v>23</v>
      </c>
      <c r="I102">
        <f>VLOOKUP(Table1[[#This Row],[Called Node]],Nodes!A:E,5,0)</f>
        <v>22</v>
      </c>
    </row>
    <row r="103" spans="1:9" x14ac:dyDescent="0.3">
      <c r="A103" t="s">
        <v>51</v>
      </c>
      <c r="B103" t="str">
        <f>VLOOKUP(Table1[[#This Row],[Calling Node]],Nodes!A:B,2,0)</f>
        <v>collect_annual_usage_statistics</v>
      </c>
      <c r="C103" t="s">
        <v>157</v>
      </c>
      <c r="D103" t="str">
        <f>VLOOKUP(Table1[[#This Row],[Called Node]],Nodes!A:B,2,0)</f>
        <v>update_database_success_regex</v>
      </c>
      <c r="E103" s="3" t="str">
        <f>Table1[[#This Row],[Calling Node]]&amp;" -&gt; "&amp;Table1[[#This Row],[Called Node]]</f>
        <v>collect_annual_usage_statistics -&gt; update_database_success_regex</v>
      </c>
      <c r="F103">
        <f>VLOOKUP(Table1[[#This Row],[Calling Node]],Nodes!A:D,4,0)</f>
        <v>11</v>
      </c>
      <c r="G103">
        <f>VLOOKUP(Table1[[#This Row],[Calling Node]],Nodes!A:E,5,0)</f>
        <v>2</v>
      </c>
      <c r="H103">
        <f>VLOOKUP(Table1[[#This Row],[Called Node]],Nodes!A:D,4,0)</f>
        <v>23</v>
      </c>
      <c r="I103">
        <f>VLOOKUP(Table1[[#This Row],[Called Node]],Nodes!A:E,5,0)</f>
        <v>23</v>
      </c>
    </row>
    <row r="104" spans="1:9" x14ac:dyDescent="0.3">
      <c r="A104" t="s">
        <v>51</v>
      </c>
      <c r="B104" t="str">
        <f>VLOOKUP(Table1[[#This Row],[Calling Node]],Nodes!A:B,2,0)</f>
        <v>collect_annual_usage_statistics</v>
      </c>
      <c r="C104" t="s">
        <v>159</v>
      </c>
      <c r="D104" t="str">
        <f>VLOOKUP(Table1[[#This Row],[Called Node]],Nodes!A:B,2,0)</f>
        <v>harvest_R5_SUSHI_success_statement</v>
      </c>
      <c r="E104" s="3" t="str">
        <f>Table1[[#This Row],[Calling Node]]&amp;" -&gt; "&amp;Table1[[#This Row],[Called Node]]</f>
        <v>collect_annual_usage_statistics -&gt; harvest_R5_SUSHI_success_statement</v>
      </c>
      <c r="F104">
        <f>VLOOKUP(Table1[[#This Row],[Calling Node]],Nodes!A:D,4,0)</f>
        <v>11</v>
      </c>
      <c r="G104">
        <f>VLOOKUP(Table1[[#This Row],[Calling Node]],Nodes!A:E,5,0)</f>
        <v>2</v>
      </c>
      <c r="H104">
        <f>VLOOKUP(Table1[[#This Row],[Called Node]],Nodes!A:D,4,0)</f>
        <v>23</v>
      </c>
      <c r="I104">
        <f>VLOOKUP(Table1[[#This Row],[Called Node]],Nodes!A:E,5,0)</f>
        <v>25</v>
      </c>
    </row>
    <row r="105" spans="1:9" x14ac:dyDescent="0.3">
      <c r="A105" t="s">
        <v>52</v>
      </c>
      <c r="B105" t="str">
        <f>VLOOKUP(Table1[[#This Row],[Calling Node]],Nodes!A:B,2,0)</f>
        <v>upload_nonstandard_usage_file</v>
      </c>
      <c r="C105" t="s">
        <v>120</v>
      </c>
      <c r="D105" t="str">
        <f>VLOOKUP(Table1[[#This Row],[Called Node]],Nodes!A:B,2,0)</f>
        <v>upload_file_to_S3_bucket</v>
      </c>
      <c r="E105" s="3" t="str">
        <f>Table1[[#This Row],[Calling Node]]&amp;" -&gt; "&amp;Table1[[#This Row],[Called Node]]</f>
        <v>upload_nonstandard_usage_file -&gt; upload_file_to_S3_bucket</v>
      </c>
      <c r="F105">
        <f>VLOOKUP(Table1[[#This Row],[Calling Node]],Nodes!A:D,4,0)</f>
        <v>11</v>
      </c>
      <c r="G105">
        <f>VLOOKUP(Table1[[#This Row],[Calling Node]],Nodes!A:E,5,0)</f>
        <v>3</v>
      </c>
      <c r="H105">
        <f>VLOOKUP(Table1[[#This Row],[Called Node]],Nodes!A:D,4,0)</f>
        <v>22</v>
      </c>
      <c r="I105">
        <f>VLOOKUP(Table1[[#This Row],[Called Node]],Nodes!A:E,5,0)</f>
        <v>14</v>
      </c>
    </row>
    <row r="106" spans="1:9" x14ac:dyDescent="0.3">
      <c r="A106" t="s">
        <v>52</v>
      </c>
      <c r="B106" t="str">
        <f>VLOOKUP(Table1[[#This Row],[Calling Node]],Nodes!A:B,2,0)</f>
        <v>upload_nonstandard_usage_file</v>
      </c>
      <c r="C106" t="s">
        <v>126</v>
      </c>
      <c r="D106" t="str">
        <f>VLOOKUP(Table1[[#This Row],[Called Node]],Nodes!A:B,2,0)</f>
        <v>update_database</v>
      </c>
      <c r="E106" s="3" t="str">
        <f>Table1[[#This Row],[Calling Node]]&amp;" -&gt; "&amp;Table1[[#This Row],[Called Node]]</f>
        <v>upload_nonstandard_usage_file -&gt; update_database</v>
      </c>
      <c r="F106">
        <f>VLOOKUP(Table1[[#This Row],[Calling Node]],Nodes!A:D,4,0)</f>
        <v>11</v>
      </c>
      <c r="G106">
        <f>VLOOKUP(Table1[[#This Row],[Calling Node]],Nodes!A:E,5,0)</f>
        <v>3</v>
      </c>
      <c r="H106">
        <f>VLOOKUP(Table1[[#This Row],[Called Node]],Nodes!A:D,4,0)</f>
        <v>22</v>
      </c>
      <c r="I106">
        <f>VLOOKUP(Table1[[#This Row],[Called Node]],Nodes!A:E,5,0)</f>
        <v>20</v>
      </c>
    </row>
    <row r="107" spans="1:9" x14ac:dyDescent="0.3">
      <c r="A107" t="s">
        <v>52</v>
      </c>
      <c r="B107" t="str">
        <f>VLOOKUP(Table1[[#This Row],[Calling Node]],Nodes!A:B,2,0)</f>
        <v>upload_nonstandard_usage_file</v>
      </c>
      <c r="C107" t="s">
        <v>135</v>
      </c>
      <c r="D107" t="str">
        <f>VLOOKUP(Table1[[#This Row],[Called Node]],Nodes!A:B,2,0)</f>
        <v>file_extensions_and_mimetypes</v>
      </c>
      <c r="E107" s="3" t="str">
        <f>Table1[[#This Row],[Calling Node]]&amp;" -&gt; "&amp;Table1[[#This Row],[Called Node]]</f>
        <v>upload_nonstandard_usage_file -&gt; file_extensions_and_mimetypes</v>
      </c>
      <c r="F107">
        <f>VLOOKUP(Table1[[#This Row],[Calling Node]],Nodes!A:D,4,0)</f>
        <v>11</v>
      </c>
      <c r="G107">
        <f>VLOOKUP(Table1[[#This Row],[Calling Node]],Nodes!A:E,5,0)</f>
        <v>3</v>
      </c>
      <c r="H107">
        <f>VLOOKUP(Table1[[#This Row],[Called Node]],Nodes!A:D,4,0)</f>
        <v>23</v>
      </c>
      <c r="I107">
        <f>VLOOKUP(Table1[[#This Row],[Called Node]],Nodes!A:E,5,0)</f>
        <v>1</v>
      </c>
    </row>
    <row r="108" spans="1:9" x14ac:dyDescent="0.3">
      <c r="A108" t="s">
        <v>52</v>
      </c>
      <c r="B108" t="str">
        <f>VLOOKUP(Table1[[#This Row],[Calling Node]],Nodes!A:B,2,0)</f>
        <v>upload_nonstandard_usage_file</v>
      </c>
      <c r="C108" t="s">
        <v>143</v>
      </c>
      <c r="D108" t="str">
        <f>VLOOKUP(Table1[[#This Row],[Called Node]],Nodes!A:B,2,0)</f>
        <v>file_IO_statement</v>
      </c>
      <c r="E108" s="3" t="str">
        <f>Table1[[#This Row],[Calling Node]]&amp;" -&gt; "&amp;Table1[[#This Row],[Called Node]]</f>
        <v>upload_nonstandard_usage_file -&gt; file_IO_statement</v>
      </c>
      <c r="F108">
        <f>VLOOKUP(Table1[[#This Row],[Calling Node]],Nodes!A:D,4,0)</f>
        <v>11</v>
      </c>
      <c r="G108">
        <f>VLOOKUP(Table1[[#This Row],[Calling Node]],Nodes!A:E,5,0)</f>
        <v>3</v>
      </c>
      <c r="H108">
        <f>VLOOKUP(Table1[[#This Row],[Called Node]],Nodes!A:D,4,0)</f>
        <v>23</v>
      </c>
      <c r="I108">
        <f>VLOOKUP(Table1[[#This Row],[Called Node]],Nodes!A:E,5,0)</f>
        <v>9</v>
      </c>
    </row>
    <row r="109" spans="1:9" x14ac:dyDescent="0.3">
      <c r="A109" t="s">
        <v>52</v>
      </c>
      <c r="B109" t="str">
        <f>VLOOKUP(Table1[[#This Row],[Calling Node]],Nodes!A:B,2,0)</f>
        <v>upload_nonstandard_usage_file</v>
      </c>
      <c r="C109" t="s">
        <v>146</v>
      </c>
      <c r="D109" t="str">
        <f>VLOOKUP(Table1[[#This Row],[Called Node]],Nodes!A:B,2,0)</f>
        <v>failed_upload_to_S3_statement</v>
      </c>
      <c r="E109" s="3" t="str">
        <f>Table1[[#This Row],[Calling Node]]&amp;" -&gt; "&amp;Table1[[#This Row],[Called Node]]</f>
        <v>upload_nonstandard_usage_file -&gt; failed_upload_to_S3_statement</v>
      </c>
      <c r="F109">
        <f>VLOOKUP(Table1[[#This Row],[Calling Node]],Nodes!A:D,4,0)</f>
        <v>11</v>
      </c>
      <c r="G109">
        <f>VLOOKUP(Table1[[#This Row],[Calling Node]],Nodes!A:E,5,0)</f>
        <v>3</v>
      </c>
      <c r="H109">
        <f>VLOOKUP(Table1[[#This Row],[Called Node]],Nodes!A:D,4,0)</f>
        <v>23</v>
      </c>
      <c r="I109">
        <f>VLOOKUP(Table1[[#This Row],[Called Node]],Nodes!A:E,5,0)</f>
        <v>12</v>
      </c>
    </row>
    <row r="110" spans="1:9" x14ac:dyDescent="0.3">
      <c r="A110" t="s">
        <v>52</v>
      </c>
      <c r="B110" t="str">
        <f>VLOOKUP(Table1[[#This Row],[Calling Node]],Nodes!A:B,2,0)</f>
        <v>upload_nonstandard_usage_file</v>
      </c>
      <c r="C110" t="s">
        <v>148</v>
      </c>
      <c r="D110" t="str">
        <f>VLOOKUP(Table1[[#This Row],[Called Node]],Nodes!A:B,2,0)</f>
        <v>upload_file_to_S3_bucket_success_regex</v>
      </c>
      <c r="E110" s="3" t="str">
        <f>Table1[[#This Row],[Calling Node]]&amp;" -&gt; "&amp;Table1[[#This Row],[Called Node]]</f>
        <v>upload_nonstandard_usage_file -&gt; upload_file_to_S3_bucket_success_regex</v>
      </c>
      <c r="F110">
        <f>VLOOKUP(Table1[[#This Row],[Calling Node]],Nodes!A:D,4,0)</f>
        <v>11</v>
      </c>
      <c r="G110">
        <f>VLOOKUP(Table1[[#This Row],[Calling Node]],Nodes!A:E,5,0)</f>
        <v>3</v>
      </c>
      <c r="H110">
        <f>VLOOKUP(Table1[[#This Row],[Called Node]],Nodes!A:D,4,0)</f>
        <v>23</v>
      </c>
      <c r="I110">
        <f>VLOOKUP(Table1[[#This Row],[Called Node]],Nodes!A:E,5,0)</f>
        <v>14</v>
      </c>
    </row>
    <row r="111" spans="1:9" x14ac:dyDescent="0.3">
      <c r="A111" t="s">
        <v>52</v>
      </c>
      <c r="B111" t="str">
        <f>VLOOKUP(Table1[[#This Row],[Calling Node]],Nodes!A:B,2,0)</f>
        <v>upload_nonstandard_usage_file</v>
      </c>
      <c r="C111" t="s">
        <v>154</v>
      </c>
      <c r="D111" t="str">
        <f>VLOOKUP(Table1[[#This Row],[Called Node]],Nodes!A:B,2,0)</f>
        <v>add_data_success_and_update_database_fail_statement</v>
      </c>
      <c r="E111" s="3" t="str">
        <f>Table1[[#This Row],[Calling Node]]&amp;" -&gt; "&amp;Table1[[#This Row],[Called Node]]</f>
        <v>upload_nonstandard_usage_file -&gt; add_data_success_and_update_database_fail_statement</v>
      </c>
      <c r="F111">
        <f>VLOOKUP(Table1[[#This Row],[Calling Node]],Nodes!A:D,4,0)</f>
        <v>11</v>
      </c>
      <c r="G111">
        <f>VLOOKUP(Table1[[#This Row],[Calling Node]],Nodes!A:E,5,0)</f>
        <v>3</v>
      </c>
      <c r="H111">
        <f>VLOOKUP(Table1[[#This Row],[Called Node]],Nodes!A:D,4,0)</f>
        <v>23</v>
      </c>
      <c r="I111">
        <f>VLOOKUP(Table1[[#This Row],[Called Node]],Nodes!A:E,5,0)</f>
        <v>20</v>
      </c>
    </row>
    <row r="112" spans="1:9" x14ac:dyDescent="0.3">
      <c r="A112" t="s">
        <v>52</v>
      </c>
      <c r="B112" t="str">
        <f>VLOOKUP(Table1[[#This Row],[Calling Node]],Nodes!A:B,2,0)</f>
        <v>upload_nonstandard_usage_file</v>
      </c>
      <c r="C112" t="s">
        <v>157</v>
      </c>
      <c r="D112" t="str">
        <f>VLOOKUP(Table1[[#This Row],[Called Node]],Nodes!A:B,2,0)</f>
        <v>update_database_success_regex</v>
      </c>
      <c r="E112" s="3" t="str">
        <f>Table1[[#This Row],[Calling Node]]&amp;" -&gt; "&amp;Table1[[#This Row],[Called Node]]</f>
        <v>upload_nonstandard_usage_file -&gt; update_database_success_regex</v>
      </c>
      <c r="F112">
        <f>VLOOKUP(Table1[[#This Row],[Calling Node]],Nodes!A:D,4,0)</f>
        <v>11</v>
      </c>
      <c r="G112">
        <f>VLOOKUP(Table1[[#This Row],[Calling Node]],Nodes!A:E,5,0)</f>
        <v>3</v>
      </c>
      <c r="H112">
        <f>VLOOKUP(Table1[[#This Row],[Called Node]],Nodes!A:D,4,0)</f>
        <v>23</v>
      </c>
      <c r="I112">
        <f>VLOOKUP(Table1[[#This Row],[Called Node]],Nodes!A:E,5,0)</f>
        <v>23</v>
      </c>
    </row>
    <row r="113" spans="1:9" x14ac:dyDescent="0.3">
      <c r="A113" t="s">
        <v>53</v>
      </c>
      <c r="B113" t="str">
        <f>VLOOKUP(Table1[[#This Row],[Calling Node]],Nodes!A:B,2,0)</f>
        <v>download_nonstandard_usage_file</v>
      </c>
      <c r="C113" t="s">
        <v>143</v>
      </c>
      <c r="D113" t="str">
        <f>VLOOKUP(Table1[[#This Row],[Called Node]],Nodes!A:B,2,0)</f>
        <v>file_IO_statement</v>
      </c>
      <c r="E113" s="3" t="str">
        <f>Table1[[#This Row],[Calling Node]]&amp;" -&gt; "&amp;Table1[[#This Row],[Called Node]]</f>
        <v>download_nonstandard_usage_file -&gt; file_IO_statement</v>
      </c>
      <c r="F113">
        <f>VLOOKUP(Table1[[#This Row],[Calling Node]],Nodes!A:D,4,0)</f>
        <v>11</v>
      </c>
      <c r="G113">
        <f>VLOOKUP(Table1[[#This Row],[Calling Node]],Nodes!A:E,5,0)</f>
        <v>4</v>
      </c>
      <c r="H113">
        <f>VLOOKUP(Table1[[#This Row],[Called Node]],Nodes!A:D,4,0)</f>
        <v>23</v>
      </c>
      <c r="I113">
        <f>VLOOKUP(Table1[[#This Row],[Called Node]],Nodes!A:E,5,0)</f>
        <v>9</v>
      </c>
    </row>
    <row r="114" spans="1:9" x14ac:dyDescent="0.3">
      <c r="A114" t="s">
        <v>57</v>
      </c>
      <c r="B114" t="str">
        <f>VLOOKUP(Table1[[#This Row],[Calling Node]],Nodes!A:B,2,0)</f>
        <v>make_SUSHI_call</v>
      </c>
      <c r="C114" t="s">
        <v>58</v>
      </c>
      <c r="D114" t="str">
        <f>VLOOKUP(Table1[[#This Row],[Called Node]],Nodes!A:B,2,0)</f>
        <v>_make_API_call</v>
      </c>
      <c r="E114" s="3" t="str">
        <f>Table1[[#This Row],[Calling Node]]&amp;" -&gt; "&amp;Table1[[#This Row],[Called Node]]</f>
        <v>make_SUSHI_call -&gt; _make_API_call</v>
      </c>
      <c r="F114">
        <f>VLOOKUP(Table1[[#This Row],[Calling Node]],Nodes!A:D,4,0)</f>
        <v>13</v>
      </c>
      <c r="G114">
        <f>VLOOKUP(Table1[[#This Row],[Calling Node]],Nodes!A:E,5,0)</f>
        <v>1</v>
      </c>
      <c r="H114">
        <f>VLOOKUP(Table1[[#This Row],[Called Node]],Nodes!A:D,4,0)</f>
        <v>13</v>
      </c>
      <c r="I114">
        <f>VLOOKUP(Table1[[#This Row],[Called Node]],Nodes!A:E,5,0)</f>
        <v>2</v>
      </c>
    </row>
    <row r="115" spans="1:9" x14ac:dyDescent="0.3">
      <c r="A115" t="s">
        <v>57</v>
      </c>
      <c r="B115" t="str">
        <f>VLOOKUP(Table1[[#This Row],[Calling Node]],Nodes!A:B,2,0)</f>
        <v>make_SUSHI_call</v>
      </c>
      <c r="C115" t="s">
        <v>59</v>
      </c>
      <c r="D115" t="str">
        <f>VLOOKUP(Table1[[#This Row],[Called Node]],Nodes!A:B,2,0)</f>
        <v>_convert_Response_to_JSON</v>
      </c>
      <c r="E115" s="3" t="str">
        <f>Table1[[#This Row],[Calling Node]]&amp;" -&gt; "&amp;Table1[[#This Row],[Called Node]]</f>
        <v>make_SUSHI_call -&gt; _convert_Response_to_JSON</v>
      </c>
      <c r="F115">
        <f>VLOOKUP(Table1[[#This Row],[Calling Node]],Nodes!A:D,4,0)</f>
        <v>13</v>
      </c>
      <c r="G115">
        <f>VLOOKUP(Table1[[#This Row],[Calling Node]],Nodes!A:E,5,0)</f>
        <v>1</v>
      </c>
      <c r="H115">
        <f>VLOOKUP(Table1[[#This Row],[Called Node]],Nodes!A:D,4,0)</f>
        <v>13</v>
      </c>
      <c r="I115">
        <f>VLOOKUP(Table1[[#This Row],[Called Node]],Nodes!A:E,5,0)</f>
        <v>3</v>
      </c>
    </row>
    <row r="116" spans="1:9" x14ac:dyDescent="0.3">
      <c r="A116" t="s">
        <v>57</v>
      </c>
      <c r="B116" t="str">
        <f>VLOOKUP(Table1[[#This Row],[Calling Node]],Nodes!A:B,2,0)</f>
        <v>make_SUSHI_call</v>
      </c>
      <c r="C116" t="s">
        <v>60</v>
      </c>
      <c r="D116" t="str">
        <f>VLOOKUP(Table1[[#This Row],[Called Node]],Nodes!A:B,2,0)</f>
        <v>_save_raw_Response_text</v>
      </c>
      <c r="E116" s="3" t="str">
        <f>Table1[[#This Row],[Calling Node]]&amp;" -&gt; "&amp;Table1[[#This Row],[Called Node]]</f>
        <v>make_SUSHI_call -&gt; _save_raw_Response_text</v>
      </c>
      <c r="F116">
        <f>VLOOKUP(Table1[[#This Row],[Calling Node]],Nodes!A:D,4,0)</f>
        <v>13</v>
      </c>
      <c r="G116">
        <f>VLOOKUP(Table1[[#This Row],[Calling Node]],Nodes!A:E,5,0)</f>
        <v>1</v>
      </c>
      <c r="H116">
        <f>VLOOKUP(Table1[[#This Row],[Called Node]],Nodes!A:D,4,0)</f>
        <v>13</v>
      </c>
      <c r="I116">
        <f>VLOOKUP(Table1[[#This Row],[Called Node]],Nodes!A:E,5,0)</f>
        <v>4</v>
      </c>
    </row>
    <row r="117" spans="1:9" x14ac:dyDescent="0.3">
      <c r="A117" t="s">
        <v>57</v>
      </c>
      <c r="B117" t="str">
        <f>VLOOKUP(Table1[[#This Row],[Calling Node]],Nodes!A:B,2,0)</f>
        <v>make_SUSHI_call</v>
      </c>
      <c r="C117" t="s">
        <v>61</v>
      </c>
      <c r="D117" t="str">
        <f>VLOOKUP(Table1[[#This Row],[Called Node]],Nodes!A:B,2,0)</f>
        <v>_handle_SUSHI_exceptions</v>
      </c>
      <c r="E117" s="3" t="str">
        <f>Table1[[#This Row],[Calling Node]]&amp;" -&gt; "&amp;Table1[[#This Row],[Called Node]]</f>
        <v>make_SUSHI_call -&gt; _handle_SUSHI_exceptions</v>
      </c>
      <c r="F117">
        <f>VLOOKUP(Table1[[#This Row],[Calling Node]],Nodes!A:D,4,0)</f>
        <v>13</v>
      </c>
      <c r="G117">
        <f>VLOOKUP(Table1[[#This Row],[Calling Node]],Nodes!A:E,5,0)</f>
        <v>1</v>
      </c>
      <c r="H117">
        <f>VLOOKUP(Table1[[#This Row],[Called Node]],Nodes!A:D,4,0)</f>
        <v>13</v>
      </c>
      <c r="I117">
        <f>VLOOKUP(Table1[[#This Row],[Called Node]],Nodes!A:E,5,0)</f>
        <v>5</v>
      </c>
    </row>
    <row r="118" spans="1:9" x14ac:dyDescent="0.3">
      <c r="A118" t="s">
        <v>57</v>
      </c>
      <c r="B118" t="str">
        <f>VLOOKUP(Table1[[#This Row],[Calling Node]],Nodes!A:B,2,0)</f>
        <v>make_SUSHI_call</v>
      </c>
      <c r="C118" t="s">
        <v>63</v>
      </c>
      <c r="D118" t="str">
        <f>VLOOKUP(Table1[[#This Row],[Called Node]],Nodes!A:B,2,0)</f>
        <v>_stdout_API_response_based_on_size</v>
      </c>
      <c r="E118" s="3" t="str">
        <f>Table1[[#This Row],[Calling Node]]&amp;" -&gt; "&amp;Table1[[#This Row],[Called Node]]</f>
        <v>make_SUSHI_call -&gt; _stdout_API_response_based_on_size</v>
      </c>
      <c r="F118">
        <f>VLOOKUP(Table1[[#This Row],[Calling Node]],Nodes!A:D,4,0)</f>
        <v>13</v>
      </c>
      <c r="G118">
        <f>VLOOKUP(Table1[[#This Row],[Calling Node]],Nodes!A:E,5,0)</f>
        <v>1</v>
      </c>
      <c r="H118">
        <f>VLOOKUP(Table1[[#This Row],[Called Node]],Nodes!A:D,4,0)</f>
        <v>13</v>
      </c>
      <c r="I118">
        <f>VLOOKUP(Table1[[#This Row],[Called Node]],Nodes!A:E,5,0)</f>
        <v>7</v>
      </c>
    </row>
    <row r="119" spans="1:9" x14ac:dyDescent="0.3">
      <c r="A119" t="s">
        <v>57</v>
      </c>
      <c r="B119" t="str">
        <f>VLOOKUP(Table1[[#This Row],[Calling Node]],Nodes!A:B,2,0)</f>
        <v>make_SUSHI_call</v>
      </c>
      <c r="C119" t="s">
        <v>136</v>
      </c>
      <c r="D119" t="str">
        <f>VLOOKUP(Table1[[#This Row],[Called Node]],Nodes!A:B,2,0)</f>
        <v>format_list_for_stdout</v>
      </c>
      <c r="E119" s="3" t="str">
        <f>Table1[[#This Row],[Calling Node]]&amp;" -&gt; "&amp;Table1[[#This Row],[Called Node]]</f>
        <v>make_SUSHI_call -&gt; format_list_for_stdout</v>
      </c>
      <c r="F119">
        <f>VLOOKUP(Table1[[#This Row],[Calling Node]],Nodes!A:D,4,0)</f>
        <v>13</v>
      </c>
      <c r="G119">
        <f>VLOOKUP(Table1[[#This Row],[Calling Node]],Nodes!A:E,5,0)</f>
        <v>1</v>
      </c>
      <c r="H119">
        <f>VLOOKUP(Table1[[#This Row],[Called Node]],Nodes!A:D,4,0)</f>
        <v>23</v>
      </c>
      <c r="I119">
        <f>VLOOKUP(Table1[[#This Row],[Called Node]],Nodes!A:E,5,0)</f>
        <v>2</v>
      </c>
    </row>
    <row r="120" spans="1:9" x14ac:dyDescent="0.3">
      <c r="A120" t="s">
        <v>57</v>
      </c>
      <c r="B120" t="str">
        <f>VLOOKUP(Table1[[#This Row],[Calling Node]],Nodes!A:B,2,0)</f>
        <v>make_SUSHI_call</v>
      </c>
      <c r="C120" t="s">
        <v>148</v>
      </c>
      <c r="D120" t="str">
        <f>VLOOKUP(Table1[[#This Row],[Called Node]],Nodes!A:B,2,0)</f>
        <v>upload_file_to_S3_bucket_success_regex</v>
      </c>
      <c r="E120" s="3" t="str">
        <f>Table1[[#This Row],[Calling Node]]&amp;" -&gt; "&amp;Table1[[#This Row],[Called Node]]</f>
        <v>make_SUSHI_call -&gt; upload_file_to_S3_bucket_success_regex</v>
      </c>
      <c r="F120">
        <f>VLOOKUP(Table1[[#This Row],[Calling Node]],Nodes!A:D,4,0)</f>
        <v>13</v>
      </c>
      <c r="G120">
        <f>VLOOKUP(Table1[[#This Row],[Calling Node]],Nodes!A:E,5,0)</f>
        <v>1</v>
      </c>
      <c r="H120">
        <f>VLOOKUP(Table1[[#This Row],[Called Node]],Nodes!A:D,4,0)</f>
        <v>23</v>
      </c>
      <c r="I120">
        <f>VLOOKUP(Table1[[#This Row],[Called Node]],Nodes!A:E,5,0)</f>
        <v>14</v>
      </c>
    </row>
    <row r="121" spans="1:9" x14ac:dyDescent="0.3">
      <c r="A121" t="s">
        <v>57</v>
      </c>
      <c r="B121" t="str">
        <f>VLOOKUP(Table1[[#This Row],[Calling Node]],Nodes!A:B,2,0)</f>
        <v>make_SUSHI_call</v>
      </c>
      <c r="C121" t="s">
        <v>160</v>
      </c>
      <c r="D121" t="str">
        <f>VLOOKUP(Table1[[#This Row],[Called Node]],Nodes!A:B,2,0)</f>
        <v>failed_SUSHI_call_statement</v>
      </c>
      <c r="E121" s="3" t="str">
        <f>Table1[[#This Row],[Calling Node]]&amp;" -&gt; "&amp;Table1[[#This Row],[Called Node]]</f>
        <v>make_SUSHI_call -&gt; failed_SUSHI_call_statement</v>
      </c>
      <c r="F121">
        <f>VLOOKUP(Table1[[#This Row],[Calling Node]],Nodes!A:D,4,0)</f>
        <v>13</v>
      </c>
      <c r="G121">
        <f>VLOOKUP(Table1[[#This Row],[Calling Node]],Nodes!A:E,5,0)</f>
        <v>1</v>
      </c>
      <c r="H121">
        <f>VLOOKUP(Table1[[#This Row],[Called Node]],Nodes!A:D,4,0)</f>
        <v>23</v>
      </c>
      <c r="I121">
        <f>VLOOKUP(Table1[[#This Row],[Called Node]],Nodes!A:E,5,0)</f>
        <v>26</v>
      </c>
    </row>
    <row r="122" spans="1:9" x14ac:dyDescent="0.3">
      <c r="A122" t="s">
        <v>57</v>
      </c>
      <c r="B122" t="str">
        <f>VLOOKUP(Table1[[#This Row],[Calling Node]],Nodes!A:B,2,0)</f>
        <v>make_SUSHI_call</v>
      </c>
      <c r="C122" t="s">
        <v>161</v>
      </c>
      <c r="D122" t="str">
        <f>VLOOKUP(Table1[[#This Row],[Called Node]],Nodes!A:B,2,0)</f>
        <v>no_data_returned_by_SUSHI_statement</v>
      </c>
      <c r="E122" s="3" t="str">
        <f>Table1[[#This Row],[Calling Node]]&amp;" -&gt; "&amp;Table1[[#This Row],[Called Node]]</f>
        <v>make_SUSHI_call -&gt; no_data_returned_by_SUSHI_statement</v>
      </c>
      <c r="F122">
        <f>VLOOKUP(Table1[[#This Row],[Calling Node]],Nodes!A:D,4,0)</f>
        <v>13</v>
      </c>
      <c r="G122">
        <f>VLOOKUP(Table1[[#This Row],[Calling Node]],Nodes!A:E,5,0)</f>
        <v>1</v>
      </c>
      <c r="H122">
        <f>VLOOKUP(Table1[[#This Row],[Called Node]],Nodes!A:D,4,0)</f>
        <v>23</v>
      </c>
      <c r="I122">
        <f>VLOOKUP(Table1[[#This Row],[Called Node]],Nodes!A:E,5,0)</f>
        <v>27</v>
      </c>
    </row>
    <row r="123" spans="1:9" x14ac:dyDescent="0.3">
      <c r="A123" t="s">
        <v>59</v>
      </c>
      <c r="B123" t="str">
        <f>VLOOKUP(Table1[[#This Row],[Calling Node]],Nodes!A:B,2,0)</f>
        <v>_convert_Response_to_JSON</v>
      </c>
      <c r="C123" t="s">
        <v>63</v>
      </c>
      <c r="D123" t="str">
        <f>VLOOKUP(Table1[[#This Row],[Called Node]],Nodes!A:B,2,0)</f>
        <v>_stdout_API_response_based_on_size</v>
      </c>
      <c r="E123" s="3" t="str">
        <f>Table1[[#This Row],[Calling Node]]&amp;" -&gt; "&amp;Table1[[#This Row],[Called Node]]</f>
        <v>_convert_Response_to_JSON -&gt; _stdout_API_response_based_on_size</v>
      </c>
      <c r="F123">
        <f>VLOOKUP(Table1[[#This Row],[Calling Node]],Nodes!A:D,4,0)</f>
        <v>13</v>
      </c>
      <c r="G123">
        <f>VLOOKUP(Table1[[#This Row],[Calling Node]],Nodes!A:E,5,0)</f>
        <v>3</v>
      </c>
      <c r="H123">
        <f>VLOOKUP(Table1[[#This Row],[Called Node]],Nodes!A:D,4,0)</f>
        <v>13</v>
      </c>
      <c r="I123">
        <f>VLOOKUP(Table1[[#This Row],[Called Node]],Nodes!A:E,5,0)</f>
        <v>7</v>
      </c>
    </row>
    <row r="124" spans="1:9" x14ac:dyDescent="0.3">
      <c r="A124" t="s">
        <v>59</v>
      </c>
      <c r="B124" t="str">
        <f>VLOOKUP(Table1[[#This Row],[Calling Node]],Nodes!A:B,2,0)</f>
        <v>_convert_Response_to_JSON</v>
      </c>
      <c r="C124" t="s">
        <v>160</v>
      </c>
      <c r="D124" t="str">
        <f>VLOOKUP(Table1[[#This Row],[Called Node]],Nodes!A:B,2,0)</f>
        <v>failed_SUSHI_call_statement</v>
      </c>
      <c r="E124" s="3" t="str">
        <f>Table1[[#This Row],[Calling Node]]&amp;" -&gt; "&amp;Table1[[#This Row],[Called Node]]</f>
        <v>_convert_Response_to_JSON -&gt; failed_SUSHI_call_statement</v>
      </c>
      <c r="F124">
        <f>VLOOKUP(Table1[[#This Row],[Calling Node]],Nodes!A:D,4,0)</f>
        <v>13</v>
      </c>
      <c r="G124">
        <f>VLOOKUP(Table1[[#This Row],[Calling Node]],Nodes!A:E,5,0)</f>
        <v>3</v>
      </c>
      <c r="H124">
        <f>VLOOKUP(Table1[[#This Row],[Called Node]],Nodes!A:D,4,0)</f>
        <v>23</v>
      </c>
      <c r="I124">
        <f>VLOOKUP(Table1[[#This Row],[Called Node]],Nodes!A:E,5,0)</f>
        <v>26</v>
      </c>
    </row>
    <row r="125" spans="1:9" x14ac:dyDescent="0.3">
      <c r="A125" t="s">
        <v>60</v>
      </c>
      <c r="B125" t="str">
        <f>VLOOKUP(Table1[[#This Row],[Calling Node]],Nodes!A:B,2,0)</f>
        <v>_save_raw_Response_text</v>
      </c>
      <c r="C125" t="s">
        <v>123</v>
      </c>
      <c r="D125" t="str">
        <f>VLOOKUP(Table1[[#This Row],[Called Node]],Nodes!A:B,2,0)</f>
        <v>query_database</v>
      </c>
      <c r="E125" s="3" t="str">
        <f>Table1[[#This Row],[Calling Node]]&amp;" -&gt; "&amp;Table1[[#This Row],[Called Node]]</f>
        <v>_save_raw_Response_text -&gt; query_database</v>
      </c>
      <c r="F125">
        <f>VLOOKUP(Table1[[#This Row],[Calling Node]],Nodes!A:D,4,0)</f>
        <v>13</v>
      </c>
      <c r="G125">
        <f>VLOOKUP(Table1[[#This Row],[Calling Node]],Nodes!A:E,5,0)</f>
        <v>4</v>
      </c>
      <c r="H125">
        <f>VLOOKUP(Table1[[#This Row],[Called Node]],Nodes!A:D,4,0)</f>
        <v>22</v>
      </c>
      <c r="I125">
        <f>VLOOKUP(Table1[[#This Row],[Called Node]],Nodes!A:E,5,0)</f>
        <v>17</v>
      </c>
    </row>
    <row r="126" spans="1:9" x14ac:dyDescent="0.3">
      <c r="A126" t="s">
        <v>60</v>
      </c>
      <c r="B126" t="str">
        <f>VLOOKUP(Table1[[#This Row],[Calling Node]],Nodes!A:B,2,0)</f>
        <v>_save_raw_Response_text</v>
      </c>
      <c r="C126" t="s">
        <v>127</v>
      </c>
      <c r="D126" t="str">
        <f>VLOOKUP(Table1[[#This Row],[Called Node]],Nodes!A:B,2,0)</f>
        <v>save_unconverted_data_via_upload</v>
      </c>
      <c r="E126" s="3" t="str">
        <f>Table1[[#This Row],[Calling Node]]&amp;" -&gt; "&amp;Table1[[#This Row],[Called Node]]</f>
        <v>_save_raw_Response_text -&gt; save_unconverted_data_via_upload</v>
      </c>
      <c r="F126">
        <f>VLOOKUP(Table1[[#This Row],[Calling Node]],Nodes!A:D,4,0)</f>
        <v>13</v>
      </c>
      <c r="G126">
        <f>VLOOKUP(Table1[[#This Row],[Calling Node]],Nodes!A:E,5,0)</f>
        <v>4</v>
      </c>
      <c r="H126">
        <f>VLOOKUP(Table1[[#This Row],[Called Node]],Nodes!A:D,4,0)</f>
        <v>22</v>
      </c>
      <c r="I126">
        <f>VLOOKUP(Table1[[#This Row],[Called Node]],Nodes!A:E,5,0)</f>
        <v>21</v>
      </c>
    </row>
    <row r="127" spans="1:9" x14ac:dyDescent="0.3">
      <c r="A127" t="s">
        <v>60</v>
      </c>
      <c r="B127" t="str">
        <f>VLOOKUP(Table1[[#This Row],[Calling Node]],Nodes!A:B,2,0)</f>
        <v>_save_raw_Response_text</v>
      </c>
      <c r="C127" t="s">
        <v>130</v>
      </c>
      <c r="D127" t="str">
        <f>VLOOKUP(Table1[[#This Row],[Called Node]],Nodes!A:B,2,0)</f>
        <v>extract_value_from_single_value_df</v>
      </c>
      <c r="E127" s="3" t="str">
        <f>Table1[[#This Row],[Calling Node]]&amp;" -&gt; "&amp;Table1[[#This Row],[Called Node]]</f>
        <v>_save_raw_Response_text -&gt; extract_value_from_single_value_df</v>
      </c>
      <c r="F127">
        <f>VLOOKUP(Table1[[#This Row],[Calling Node]],Nodes!A:D,4,0)</f>
        <v>13</v>
      </c>
      <c r="G127">
        <f>VLOOKUP(Table1[[#This Row],[Calling Node]],Nodes!A:E,5,0)</f>
        <v>4</v>
      </c>
      <c r="H127">
        <f>VLOOKUP(Table1[[#This Row],[Called Node]],Nodes!A:D,4,0)</f>
        <v>22</v>
      </c>
      <c r="I127">
        <f>VLOOKUP(Table1[[#This Row],[Called Node]],Nodes!A:E,5,0)</f>
        <v>24</v>
      </c>
    </row>
    <row r="128" spans="1:9" x14ac:dyDescent="0.3">
      <c r="A128" t="s">
        <v>60</v>
      </c>
      <c r="B128" t="str">
        <f>VLOOKUP(Table1[[#This Row],[Calling Node]],Nodes!A:B,2,0)</f>
        <v>_save_raw_Response_text</v>
      </c>
      <c r="C128" t="s">
        <v>131</v>
      </c>
      <c r="D128" t="str">
        <f>VLOOKUP(Table1[[#This Row],[Called Node]],Nodes!A:B,2,0)</f>
        <v>AWS_timestamp_format</v>
      </c>
      <c r="E128" s="3" t="str">
        <f>Table1[[#This Row],[Calling Node]]&amp;" -&gt; "&amp;Table1[[#This Row],[Called Node]]</f>
        <v>_save_raw_Response_text -&gt; AWS_timestamp_format</v>
      </c>
      <c r="F128">
        <f>VLOOKUP(Table1[[#This Row],[Calling Node]],Nodes!A:D,4,0)</f>
        <v>13</v>
      </c>
      <c r="G128">
        <f>VLOOKUP(Table1[[#This Row],[Calling Node]],Nodes!A:E,5,0)</f>
        <v>4</v>
      </c>
      <c r="H128">
        <f>VLOOKUP(Table1[[#This Row],[Called Node]],Nodes!A:D,4,0)</f>
        <v>22</v>
      </c>
      <c r="I128">
        <f>VLOOKUP(Table1[[#This Row],[Called Node]],Nodes!A:E,5,0)</f>
        <v>25</v>
      </c>
    </row>
    <row r="129" spans="1:9" x14ac:dyDescent="0.3">
      <c r="A129" t="s">
        <v>60</v>
      </c>
      <c r="B129" t="str">
        <f>VLOOKUP(Table1[[#This Row],[Calling Node]],Nodes!A:B,2,0)</f>
        <v>_save_raw_Response_text</v>
      </c>
      <c r="C129" t="s">
        <v>143</v>
      </c>
      <c r="D129" t="str">
        <f>VLOOKUP(Table1[[#This Row],[Called Node]],Nodes!A:B,2,0)</f>
        <v>file_IO_statement</v>
      </c>
      <c r="E129" s="3" t="str">
        <f>Table1[[#This Row],[Calling Node]]&amp;" -&gt; "&amp;Table1[[#This Row],[Called Node]]</f>
        <v>_save_raw_Response_text -&gt; file_IO_statement</v>
      </c>
      <c r="F129">
        <f>VLOOKUP(Table1[[#This Row],[Calling Node]],Nodes!A:D,4,0)</f>
        <v>13</v>
      </c>
      <c r="G129">
        <f>VLOOKUP(Table1[[#This Row],[Calling Node]],Nodes!A:E,5,0)</f>
        <v>4</v>
      </c>
      <c r="H129">
        <f>VLOOKUP(Table1[[#This Row],[Called Node]],Nodes!A:D,4,0)</f>
        <v>23</v>
      </c>
      <c r="I129">
        <f>VLOOKUP(Table1[[#This Row],[Called Node]],Nodes!A:E,5,0)</f>
        <v>9</v>
      </c>
    </row>
    <row r="130" spans="1:9" x14ac:dyDescent="0.3">
      <c r="A130" t="s">
        <v>60</v>
      </c>
      <c r="B130" t="str">
        <f>VLOOKUP(Table1[[#This Row],[Calling Node]],Nodes!A:B,2,0)</f>
        <v>_save_raw_Response_text</v>
      </c>
      <c r="C130" t="s">
        <v>148</v>
      </c>
      <c r="D130" t="str">
        <f>VLOOKUP(Table1[[#This Row],[Called Node]],Nodes!A:B,2,0)</f>
        <v>upload_file_to_S3_bucket_success_regex</v>
      </c>
      <c r="E130" s="3" t="str">
        <f>Table1[[#This Row],[Calling Node]]&amp;" -&gt; "&amp;Table1[[#This Row],[Called Node]]</f>
        <v>_save_raw_Response_text -&gt; upload_file_to_S3_bucket_success_regex</v>
      </c>
      <c r="F130">
        <f>VLOOKUP(Table1[[#This Row],[Calling Node]],Nodes!A:D,4,0)</f>
        <v>13</v>
      </c>
      <c r="G130">
        <f>VLOOKUP(Table1[[#This Row],[Calling Node]],Nodes!A:E,5,0)</f>
        <v>4</v>
      </c>
      <c r="H130">
        <f>VLOOKUP(Table1[[#This Row],[Called Node]],Nodes!A:D,4,0)</f>
        <v>23</v>
      </c>
      <c r="I130">
        <f>VLOOKUP(Table1[[#This Row],[Called Node]],Nodes!A:E,5,0)</f>
        <v>14</v>
      </c>
    </row>
    <row r="131" spans="1:9" x14ac:dyDescent="0.3">
      <c r="A131" t="s">
        <v>60</v>
      </c>
      <c r="B131" t="str">
        <f>VLOOKUP(Table1[[#This Row],[Calling Node]],Nodes!A:B,2,0)</f>
        <v>_save_raw_Response_text</v>
      </c>
      <c r="C131" t="s">
        <v>152</v>
      </c>
      <c r="D131" t="str">
        <f>VLOOKUP(Table1[[#This Row],[Called Node]],Nodes!A:B,2,0)</f>
        <v>database_query_fail_statement</v>
      </c>
      <c r="E131" s="3" t="str">
        <f>Table1[[#This Row],[Calling Node]]&amp;" -&gt; "&amp;Table1[[#This Row],[Called Node]]</f>
        <v>_save_raw_Response_text -&gt; database_query_fail_statement</v>
      </c>
      <c r="F131">
        <f>VLOOKUP(Table1[[#This Row],[Calling Node]],Nodes!A:D,4,0)</f>
        <v>13</v>
      </c>
      <c r="G131">
        <f>VLOOKUP(Table1[[#This Row],[Calling Node]],Nodes!A:E,5,0)</f>
        <v>4</v>
      </c>
      <c r="H131">
        <f>VLOOKUP(Table1[[#This Row],[Called Node]],Nodes!A:D,4,0)</f>
        <v>23</v>
      </c>
      <c r="I131">
        <f>VLOOKUP(Table1[[#This Row],[Called Node]],Nodes!A:E,5,0)</f>
        <v>18</v>
      </c>
    </row>
    <row r="132" spans="1:9" x14ac:dyDescent="0.3">
      <c r="A132" t="s">
        <v>61</v>
      </c>
      <c r="B132" t="str">
        <f>VLOOKUP(Table1[[#This Row],[Calling Node]],Nodes!A:B,2,0)</f>
        <v>_handle_SUSHI_exceptions</v>
      </c>
      <c r="C132" t="s">
        <v>62</v>
      </c>
      <c r="D132" t="str">
        <f>VLOOKUP(Table1[[#This Row],[Called Node]],Nodes!A:B,2,0)</f>
        <v>_evaluate_individual_SUSHI_exception</v>
      </c>
      <c r="E132" s="3" t="str">
        <f>Table1[[#This Row],[Calling Node]]&amp;" -&gt; "&amp;Table1[[#This Row],[Called Node]]</f>
        <v>_handle_SUSHI_exceptions -&gt; _evaluate_individual_SUSHI_exception</v>
      </c>
      <c r="F132">
        <f>VLOOKUP(Table1[[#This Row],[Calling Node]],Nodes!A:D,4,0)</f>
        <v>13</v>
      </c>
      <c r="G132">
        <f>VLOOKUP(Table1[[#This Row],[Calling Node]],Nodes!A:E,5,0)</f>
        <v>5</v>
      </c>
      <c r="H132">
        <f>VLOOKUP(Table1[[#This Row],[Called Node]],Nodes!A:D,4,0)</f>
        <v>13</v>
      </c>
      <c r="I132">
        <f>VLOOKUP(Table1[[#This Row],[Called Node]],Nodes!A:E,5,0)</f>
        <v>6</v>
      </c>
    </row>
    <row r="133" spans="1:9" x14ac:dyDescent="0.3">
      <c r="A133" t="s">
        <v>61</v>
      </c>
      <c r="B133" t="str">
        <f>VLOOKUP(Table1[[#This Row],[Calling Node]],Nodes!A:B,2,0)</f>
        <v>_handle_SUSHI_exceptions</v>
      </c>
      <c r="C133" t="s">
        <v>136</v>
      </c>
      <c r="D133" t="str">
        <f>VLOOKUP(Table1[[#This Row],[Called Node]],Nodes!A:B,2,0)</f>
        <v>format_list_for_stdout</v>
      </c>
      <c r="E133" s="3" t="str">
        <f>Table1[[#This Row],[Calling Node]]&amp;" -&gt; "&amp;Table1[[#This Row],[Called Node]]</f>
        <v>_handle_SUSHI_exceptions -&gt; format_list_for_stdout</v>
      </c>
      <c r="F133">
        <f>VLOOKUP(Table1[[#This Row],[Calling Node]],Nodes!A:D,4,0)</f>
        <v>13</v>
      </c>
      <c r="G133">
        <f>VLOOKUP(Table1[[#This Row],[Calling Node]],Nodes!A:E,5,0)</f>
        <v>5</v>
      </c>
      <c r="H133">
        <f>VLOOKUP(Table1[[#This Row],[Called Node]],Nodes!A:D,4,0)</f>
        <v>23</v>
      </c>
      <c r="I133">
        <f>VLOOKUP(Table1[[#This Row],[Called Node]],Nodes!A:E,5,0)</f>
        <v>2</v>
      </c>
    </row>
    <row r="134" spans="1:9" x14ac:dyDescent="0.3">
      <c r="A134" t="s">
        <v>62</v>
      </c>
      <c r="B134" t="str">
        <f>VLOOKUP(Table1[[#This Row],[Calling Node]],Nodes!A:B,2,0)</f>
        <v>_evaluate_individual_SUSHI_exception</v>
      </c>
      <c r="C134" t="s">
        <v>36</v>
      </c>
      <c r="D134" s="2" t="str">
        <f>VLOOKUP(Table1[[#This Row],[Called Node]],Nodes!A:B,2,0)</f>
        <v>add_note</v>
      </c>
      <c r="E134" s="3" t="str">
        <f>Table1[[#This Row],[Calling Node]]&amp;" -&gt; "&amp;Table1[[#This Row],[Called Node]]</f>
        <v>_evaluate_individual_SUSHI_exception -&gt; add_note_in_statisticsSources</v>
      </c>
      <c r="F134">
        <f>VLOOKUP(Table1[[#This Row],[Calling Node]],Nodes!A:D,4,0)</f>
        <v>13</v>
      </c>
      <c r="G134">
        <f>VLOOKUP(Table1[[#This Row],[Calling Node]],Nodes!A:E,5,0)</f>
        <v>6</v>
      </c>
      <c r="H134">
        <f>VLOOKUP(Table1[[#This Row],[Called Node]],Nodes!A:D,4,0)</f>
        <v>6</v>
      </c>
      <c r="I134">
        <f>VLOOKUP(Table1[[#This Row],[Called Node]],Nodes!A:E,5,0)</f>
        <v>7</v>
      </c>
    </row>
    <row r="135" spans="1:9" x14ac:dyDescent="0.3">
      <c r="A135" t="s">
        <v>62</v>
      </c>
      <c r="B135" t="str">
        <f>VLOOKUP(Table1[[#This Row],[Calling Node]],Nodes!A:B,2,0)</f>
        <v>_evaluate_individual_SUSHI_exception</v>
      </c>
      <c r="C135" t="s">
        <v>123</v>
      </c>
      <c r="D135" t="str">
        <f>VLOOKUP(Table1[[#This Row],[Called Node]],Nodes!A:B,2,0)</f>
        <v>query_database</v>
      </c>
      <c r="E135" s="3" t="str">
        <f>Table1[[#This Row],[Calling Node]]&amp;" -&gt; "&amp;Table1[[#This Row],[Called Node]]</f>
        <v>_evaluate_individual_SUSHI_exception -&gt; query_database</v>
      </c>
      <c r="F135">
        <f>VLOOKUP(Table1[[#This Row],[Calling Node]],Nodes!A:D,4,0)</f>
        <v>13</v>
      </c>
      <c r="G135">
        <f>VLOOKUP(Table1[[#This Row],[Calling Node]],Nodes!A:E,5,0)</f>
        <v>6</v>
      </c>
      <c r="H135">
        <f>VLOOKUP(Table1[[#This Row],[Called Node]],Nodes!A:D,4,0)</f>
        <v>22</v>
      </c>
      <c r="I135">
        <f>VLOOKUP(Table1[[#This Row],[Called Node]],Nodes!A:E,5,0)</f>
        <v>17</v>
      </c>
    </row>
    <row r="136" spans="1:9" x14ac:dyDescent="0.3">
      <c r="A136" t="s">
        <v>62</v>
      </c>
      <c r="B136" t="str">
        <f>VLOOKUP(Table1[[#This Row],[Calling Node]],Nodes!A:B,2,0)</f>
        <v>_evaluate_individual_SUSHI_exception</v>
      </c>
      <c r="C136" t="s">
        <v>152</v>
      </c>
      <c r="D136" t="str">
        <f>VLOOKUP(Table1[[#This Row],[Called Node]],Nodes!A:B,2,0)</f>
        <v>database_query_fail_statement</v>
      </c>
      <c r="E136" s="3" t="str">
        <f>Table1[[#This Row],[Calling Node]]&amp;" -&gt; "&amp;Table1[[#This Row],[Called Node]]</f>
        <v>_evaluate_individual_SUSHI_exception -&gt; database_query_fail_statement</v>
      </c>
      <c r="F136">
        <f>VLOOKUP(Table1[[#This Row],[Calling Node]],Nodes!A:D,4,0)</f>
        <v>13</v>
      </c>
      <c r="G136">
        <f>VLOOKUP(Table1[[#This Row],[Calling Node]],Nodes!A:E,5,0)</f>
        <v>6</v>
      </c>
      <c r="H136">
        <f>VLOOKUP(Table1[[#This Row],[Called Node]],Nodes!A:D,4,0)</f>
        <v>23</v>
      </c>
      <c r="I136">
        <f>VLOOKUP(Table1[[#This Row],[Called Node]],Nodes!A:E,5,0)</f>
        <v>18</v>
      </c>
    </row>
    <row r="137" spans="1:9" x14ac:dyDescent="0.3">
      <c r="A137" t="s">
        <v>65</v>
      </c>
      <c r="B137" s="2" t="str">
        <f>VLOOKUP(Table1[[#This Row],[Calling Node]],Nodes!A:B,2,0)</f>
        <v>create_dataframe</v>
      </c>
      <c r="C137" t="s">
        <v>55</v>
      </c>
      <c r="D137" s="2" t="str">
        <f>VLOOKUP(Table1[[#This Row],[Called Node]],Nodes!A:B,2,0)</f>
        <v>state_data_types</v>
      </c>
      <c r="E137" s="3" t="str">
        <f>Table1[[#This Row],[Calling Node]]&amp;" -&gt; "&amp;Table1[[#This Row],[Called Node]]</f>
        <v>create_dataframe_in_UploadCOUNTERReports -&gt; state_data_types_in_COUNTERData</v>
      </c>
      <c r="F137">
        <f>VLOOKUP(Table1[[#This Row],[Calling Node]],Nodes!A:D,4,0)</f>
        <v>14</v>
      </c>
      <c r="G137">
        <f>VLOOKUP(Table1[[#This Row],[Calling Node]],Nodes!A:E,5,0)</f>
        <v>1</v>
      </c>
      <c r="H137">
        <f>VLOOKUP(Table1[[#This Row],[Called Node]],Nodes!A:D,4,0)</f>
        <v>12</v>
      </c>
      <c r="I137">
        <f>VLOOKUP(Table1[[#This Row],[Called Node]],Nodes!A:E,5,0)</f>
        <v>1</v>
      </c>
    </row>
    <row r="138" spans="1:9" x14ac:dyDescent="0.3">
      <c r="A138" t="s">
        <v>65</v>
      </c>
      <c r="B138" s="2" t="str">
        <f>VLOOKUP(Table1[[#This Row],[Calling Node]],Nodes!A:B,2,0)</f>
        <v>create_dataframe</v>
      </c>
      <c r="C138" t="s">
        <v>117</v>
      </c>
      <c r="D138" t="str">
        <f>VLOOKUP(Table1[[#This Row],[Called Node]],Nodes!A:B,2,0)</f>
        <v>return_string_of_dataframe_info</v>
      </c>
      <c r="E138" s="3" t="str">
        <f>Table1[[#This Row],[Calling Node]]&amp;" -&gt; "&amp;Table1[[#This Row],[Called Node]]</f>
        <v>create_dataframe_in_UploadCOUNTERReports -&gt; return_string_of_dataframe_info</v>
      </c>
      <c r="F138">
        <f>VLOOKUP(Table1[[#This Row],[Calling Node]],Nodes!A:D,4,0)</f>
        <v>14</v>
      </c>
      <c r="G138">
        <f>VLOOKUP(Table1[[#This Row],[Calling Node]],Nodes!A:E,5,0)</f>
        <v>1</v>
      </c>
      <c r="H138">
        <f>VLOOKUP(Table1[[#This Row],[Called Node]],Nodes!A:D,4,0)</f>
        <v>22</v>
      </c>
      <c r="I138">
        <f>VLOOKUP(Table1[[#This Row],[Called Node]],Nodes!A:E,5,0)</f>
        <v>11</v>
      </c>
    </row>
    <row r="139" spans="1:9" x14ac:dyDescent="0.3">
      <c r="A139" t="s">
        <v>65</v>
      </c>
      <c r="B139" s="2" t="str">
        <f>VLOOKUP(Table1[[#This Row],[Calling Node]],Nodes!A:B,2,0)</f>
        <v>create_dataframe</v>
      </c>
      <c r="C139" t="s">
        <v>128</v>
      </c>
      <c r="D139" t="str">
        <f>VLOOKUP(Table1[[#This Row],[Called Node]],Nodes!A:B,2,0)</f>
        <v>ISSN_regex</v>
      </c>
      <c r="E139" s="3" t="str">
        <f>Table1[[#This Row],[Calling Node]]&amp;" -&gt; "&amp;Table1[[#This Row],[Called Node]]</f>
        <v>create_dataframe_in_UploadCOUNTERReports -&gt; ISSN_regex</v>
      </c>
      <c r="F139">
        <f>VLOOKUP(Table1[[#This Row],[Calling Node]],Nodes!A:D,4,0)</f>
        <v>14</v>
      </c>
      <c r="G139">
        <f>VLOOKUP(Table1[[#This Row],[Calling Node]],Nodes!A:E,5,0)</f>
        <v>1</v>
      </c>
      <c r="H139">
        <f>VLOOKUP(Table1[[#This Row],[Called Node]],Nodes!A:D,4,0)</f>
        <v>22</v>
      </c>
      <c r="I139">
        <f>VLOOKUP(Table1[[#This Row],[Called Node]],Nodes!A:E,5,0)</f>
        <v>22</v>
      </c>
    </row>
    <row r="140" spans="1:9" x14ac:dyDescent="0.3">
      <c r="A140" t="s">
        <v>68</v>
      </c>
      <c r="B140" s="2" t="str">
        <f>VLOOKUP(Table1[[#This Row],[Calling Node]],Nodes!A:B,2,0)</f>
        <v>create_dataframe</v>
      </c>
      <c r="C140" t="s">
        <v>69</v>
      </c>
      <c r="D140" t="str">
        <f>VLOOKUP(Table1[[#This Row],[Called Node]],Nodes!A:B,2,0)</f>
        <v>_transform_R5_JSON</v>
      </c>
      <c r="E140" s="3" t="str">
        <f>Table1[[#This Row],[Calling Node]]&amp;" -&gt; "&amp;Table1[[#This Row],[Called Node]]</f>
        <v>create_dataframe_in_ConvertJSONDictToDataframe -&gt; _transform_R5_JSON</v>
      </c>
      <c r="F140">
        <f>VLOOKUP(Table1[[#This Row],[Calling Node]],Nodes!A:D,4,0)</f>
        <v>15</v>
      </c>
      <c r="G140">
        <f>VLOOKUP(Table1[[#This Row],[Calling Node]],Nodes!A:E,5,0)</f>
        <v>1</v>
      </c>
      <c r="H140">
        <f>VLOOKUP(Table1[[#This Row],[Called Node]],Nodes!A:D,4,0)</f>
        <v>15</v>
      </c>
      <c r="I140">
        <f>VLOOKUP(Table1[[#This Row],[Called Node]],Nodes!A:E,5,0)</f>
        <v>2</v>
      </c>
    </row>
    <row r="141" spans="1:9" x14ac:dyDescent="0.3">
      <c r="A141" t="s">
        <v>68</v>
      </c>
      <c r="B141" s="2" t="str">
        <f>VLOOKUP(Table1[[#This Row],[Calling Node]],Nodes!A:B,2,0)</f>
        <v>create_dataframe</v>
      </c>
      <c r="C141" t="s">
        <v>70</v>
      </c>
      <c r="D141" t="str">
        <f>VLOOKUP(Table1[[#This Row],[Called Node]],Nodes!A:B,2,0)</f>
        <v>_transform_R5b1_JSON</v>
      </c>
      <c r="E141" s="3" t="str">
        <f>Table1[[#This Row],[Calling Node]]&amp;" -&gt; "&amp;Table1[[#This Row],[Called Node]]</f>
        <v>create_dataframe_in_ConvertJSONDictToDataframe -&gt; _transform_R5b1_JSON</v>
      </c>
      <c r="F141">
        <f>VLOOKUP(Table1[[#This Row],[Calling Node]],Nodes!A:D,4,0)</f>
        <v>15</v>
      </c>
      <c r="G141">
        <f>VLOOKUP(Table1[[#This Row],[Calling Node]],Nodes!A:E,5,0)</f>
        <v>1</v>
      </c>
      <c r="H141">
        <f>VLOOKUP(Table1[[#This Row],[Called Node]],Nodes!A:D,4,0)</f>
        <v>15</v>
      </c>
      <c r="I141">
        <f>VLOOKUP(Table1[[#This Row],[Called Node]],Nodes!A:E,5,0)</f>
        <v>3</v>
      </c>
    </row>
    <row r="142" spans="1:9" x14ac:dyDescent="0.3">
      <c r="A142" t="s">
        <v>69</v>
      </c>
      <c r="B142" t="str">
        <f>VLOOKUP(Table1[[#This Row],[Calling Node]],Nodes!A:B,2,0)</f>
        <v>_transform_R5_JSON</v>
      </c>
      <c r="C142" t="s">
        <v>71</v>
      </c>
      <c r="D142" t="str">
        <f>VLOOKUP(Table1[[#This Row],[Called Node]],Nodes!A:B,2,0)</f>
        <v>_serialize_dates</v>
      </c>
      <c r="E142" s="3" t="str">
        <f>Table1[[#This Row],[Calling Node]]&amp;" -&gt; "&amp;Table1[[#This Row],[Called Node]]</f>
        <v>_transform_R5_JSON -&gt; _serialize_dates</v>
      </c>
      <c r="F142">
        <f>VLOOKUP(Table1[[#This Row],[Calling Node]],Nodes!A:D,4,0)</f>
        <v>15</v>
      </c>
      <c r="G142">
        <f>VLOOKUP(Table1[[#This Row],[Calling Node]],Nodes!A:E,5,0)</f>
        <v>2</v>
      </c>
      <c r="H142">
        <f>VLOOKUP(Table1[[#This Row],[Called Node]],Nodes!A:D,4,0)</f>
        <v>15</v>
      </c>
      <c r="I142">
        <f>VLOOKUP(Table1[[#This Row],[Called Node]],Nodes!A:E,5,0)</f>
        <v>4</v>
      </c>
    </row>
    <row r="143" spans="1:9" x14ac:dyDescent="0.3">
      <c r="A143" t="s">
        <v>69</v>
      </c>
      <c r="B143" t="str">
        <f>VLOOKUP(Table1[[#This Row],[Calling Node]],Nodes!A:B,2,0)</f>
        <v>_transform_R5_JSON</v>
      </c>
      <c r="C143" t="s">
        <v>117</v>
      </c>
      <c r="D143" t="str">
        <f>VLOOKUP(Table1[[#This Row],[Called Node]],Nodes!A:B,2,0)</f>
        <v>return_string_of_dataframe_info</v>
      </c>
      <c r="E143" s="3" t="str">
        <f>Table1[[#This Row],[Calling Node]]&amp;" -&gt; "&amp;Table1[[#This Row],[Called Node]]</f>
        <v>_transform_R5_JSON -&gt; return_string_of_dataframe_info</v>
      </c>
      <c r="F143">
        <f>VLOOKUP(Table1[[#This Row],[Calling Node]],Nodes!A:D,4,0)</f>
        <v>15</v>
      </c>
      <c r="G143">
        <f>VLOOKUP(Table1[[#This Row],[Calling Node]],Nodes!A:E,5,0)</f>
        <v>2</v>
      </c>
      <c r="H143">
        <f>VLOOKUP(Table1[[#This Row],[Called Node]],Nodes!A:D,4,0)</f>
        <v>22</v>
      </c>
      <c r="I143">
        <f>VLOOKUP(Table1[[#This Row],[Called Node]],Nodes!A:E,5,0)</f>
        <v>11</v>
      </c>
    </row>
    <row r="144" spans="1:9" x14ac:dyDescent="0.3">
      <c r="A144" t="s">
        <v>69</v>
      </c>
      <c r="B144" t="str">
        <f>VLOOKUP(Table1[[#This Row],[Calling Node]],Nodes!A:B,2,0)</f>
        <v>_transform_R5_JSON</v>
      </c>
      <c r="C144" t="s">
        <v>128</v>
      </c>
      <c r="D144" t="str">
        <f>VLOOKUP(Table1[[#This Row],[Called Node]],Nodes!A:B,2,0)</f>
        <v>ISSN_regex</v>
      </c>
      <c r="E144" s="3" t="str">
        <f>Table1[[#This Row],[Calling Node]]&amp;" -&gt; "&amp;Table1[[#This Row],[Called Node]]</f>
        <v>_transform_R5_JSON -&gt; ISSN_regex</v>
      </c>
      <c r="F144">
        <f>VLOOKUP(Table1[[#This Row],[Calling Node]],Nodes!A:D,4,0)</f>
        <v>15</v>
      </c>
      <c r="G144">
        <f>VLOOKUP(Table1[[#This Row],[Calling Node]],Nodes!A:E,5,0)</f>
        <v>2</v>
      </c>
      <c r="H144">
        <f>VLOOKUP(Table1[[#This Row],[Called Node]],Nodes!A:D,4,0)</f>
        <v>22</v>
      </c>
      <c r="I144">
        <f>VLOOKUP(Table1[[#This Row],[Called Node]],Nodes!A:E,5,0)</f>
        <v>22</v>
      </c>
    </row>
    <row r="145" spans="1:9" x14ac:dyDescent="0.3">
      <c r="A145" t="s">
        <v>69</v>
      </c>
      <c r="B145" t="str">
        <f>VLOOKUP(Table1[[#This Row],[Calling Node]],Nodes!A:B,2,0)</f>
        <v>_transform_R5_JSON</v>
      </c>
      <c r="C145" t="s">
        <v>133</v>
      </c>
      <c r="D145" t="str">
        <f>VLOOKUP(Table1[[#This Row],[Called Node]],Nodes!A:B,2,0)</f>
        <v>empty_string_regex</v>
      </c>
      <c r="E145" s="3" t="str">
        <f>Table1[[#This Row],[Calling Node]]&amp;" -&gt; "&amp;Table1[[#This Row],[Called Node]]</f>
        <v>_transform_R5_JSON -&gt; empty_string_regex</v>
      </c>
      <c r="F145">
        <f>VLOOKUP(Table1[[#This Row],[Calling Node]],Nodes!A:D,4,0)</f>
        <v>15</v>
      </c>
      <c r="G145">
        <f>VLOOKUP(Table1[[#This Row],[Calling Node]],Nodes!A:E,5,0)</f>
        <v>2</v>
      </c>
      <c r="H145">
        <f>VLOOKUP(Table1[[#This Row],[Called Node]],Nodes!A:D,4,0)</f>
        <v>22</v>
      </c>
      <c r="I145">
        <f>VLOOKUP(Table1[[#This Row],[Called Node]],Nodes!A:E,5,0)</f>
        <v>27</v>
      </c>
    </row>
    <row r="146" spans="1:9" x14ac:dyDescent="0.3">
      <c r="A146" t="s">
        <v>70</v>
      </c>
      <c r="B146" t="str">
        <f>VLOOKUP(Table1[[#This Row],[Calling Node]],Nodes!A:B,2,0)</f>
        <v>_transform_R5b1_JSON</v>
      </c>
      <c r="C146" t="s">
        <v>71</v>
      </c>
      <c r="D146" t="str">
        <f>VLOOKUP(Table1[[#This Row],[Called Node]],Nodes!A:B,2,0)</f>
        <v>_serialize_dates</v>
      </c>
      <c r="E146" s="3" t="str">
        <f>Table1[[#This Row],[Calling Node]]&amp;" -&gt; "&amp;Table1[[#This Row],[Called Node]]</f>
        <v>_transform_R5b1_JSON -&gt; _serialize_dates</v>
      </c>
      <c r="F146">
        <f>VLOOKUP(Table1[[#This Row],[Calling Node]],Nodes!A:D,4,0)</f>
        <v>15</v>
      </c>
      <c r="G146">
        <f>VLOOKUP(Table1[[#This Row],[Calling Node]],Nodes!A:E,5,0)</f>
        <v>3</v>
      </c>
      <c r="H146">
        <f>VLOOKUP(Table1[[#This Row],[Called Node]],Nodes!A:D,4,0)</f>
        <v>15</v>
      </c>
      <c r="I146">
        <f>VLOOKUP(Table1[[#This Row],[Called Node]],Nodes!A:E,5,0)</f>
        <v>4</v>
      </c>
    </row>
    <row r="147" spans="1:9" x14ac:dyDescent="0.3">
      <c r="A147" t="s">
        <v>70</v>
      </c>
      <c r="B147" t="str">
        <f>VLOOKUP(Table1[[#This Row],[Calling Node]],Nodes!A:B,2,0)</f>
        <v>_transform_R5b1_JSON</v>
      </c>
      <c r="C147" t="s">
        <v>117</v>
      </c>
      <c r="D147" t="str">
        <f>VLOOKUP(Table1[[#This Row],[Called Node]],Nodes!A:B,2,0)</f>
        <v>return_string_of_dataframe_info</v>
      </c>
      <c r="E147" s="3" t="str">
        <f>Table1[[#This Row],[Calling Node]]&amp;" -&gt; "&amp;Table1[[#This Row],[Called Node]]</f>
        <v>_transform_R5b1_JSON -&gt; return_string_of_dataframe_info</v>
      </c>
      <c r="F147">
        <f>VLOOKUP(Table1[[#This Row],[Calling Node]],Nodes!A:D,4,0)</f>
        <v>15</v>
      </c>
      <c r="G147">
        <f>VLOOKUP(Table1[[#This Row],[Calling Node]],Nodes!A:E,5,0)</f>
        <v>3</v>
      </c>
      <c r="H147">
        <f>VLOOKUP(Table1[[#This Row],[Called Node]],Nodes!A:D,4,0)</f>
        <v>22</v>
      </c>
      <c r="I147">
        <f>VLOOKUP(Table1[[#This Row],[Called Node]],Nodes!A:E,5,0)</f>
        <v>11</v>
      </c>
    </row>
    <row r="148" spans="1:9" x14ac:dyDescent="0.3">
      <c r="A148" t="s">
        <v>70</v>
      </c>
      <c r="B148" t="str">
        <f>VLOOKUP(Table1[[#This Row],[Calling Node]],Nodes!A:B,2,0)</f>
        <v>_transform_R5b1_JSON</v>
      </c>
      <c r="C148" t="s">
        <v>128</v>
      </c>
      <c r="D148" t="str">
        <f>VLOOKUP(Table1[[#This Row],[Called Node]],Nodes!A:B,2,0)</f>
        <v>ISSN_regex</v>
      </c>
      <c r="E148" s="3" t="str">
        <f>Table1[[#This Row],[Calling Node]]&amp;" -&gt; "&amp;Table1[[#This Row],[Called Node]]</f>
        <v>_transform_R5b1_JSON -&gt; ISSN_regex</v>
      </c>
      <c r="F148">
        <f>VLOOKUP(Table1[[#This Row],[Calling Node]],Nodes!A:D,4,0)</f>
        <v>15</v>
      </c>
      <c r="G148">
        <f>VLOOKUP(Table1[[#This Row],[Calling Node]],Nodes!A:E,5,0)</f>
        <v>3</v>
      </c>
      <c r="H148">
        <f>VLOOKUP(Table1[[#This Row],[Called Node]],Nodes!A:D,4,0)</f>
        <v>22</v>
      </c>
      <c r="I148">
        <f>VLOOKUP(Table1[[#This Row],[Called Node]],Nodes!A:E,5,0)</f>
        <v>22</v>
      </c>
    </row>
    <row r="149" spans="1:9" x14ac:dyDescent="0.3">
      <c r="A149" t="s">
        <v>70</v>
      </c>
      <c r="B149" t="str">
        <f>VLOOKUP(Table1[[#This Row],[Calling Node]],Nodes!A:B,2,0)</f>
        <v>_transform_R5b1_JSON</v>
      </c>
      <c r="C149" t="s">
        <v>133</v>
      </c>
      <c r="D149" t="str">
        <f>VLOOKUP(Table1[[#This Row],[Called Node]],Nodes!A:B,2,0)</f>
        <v>empty_string_regex</v>
      </c>
      <c r="E149" s="3" t="str">
        <f>Table1[[#This Row],[Calling Node]]&amp;" -&gt; "&amp;Table1[[#This Row],[Called Node]]</f>
        <v>_transform_R5b1_JSON -&gt; empty_string_regex</v>
      </c>
      <c r="F149">
        <f>VLOOKUP(Table1[[#This Row],[Calling Node]],Nodes!A:D,4,0)</f>
        <v>15</v>
      </c>
      <c r="G149">
        <f>VLOOKUP(Table1[[#This Row],[Calling Node]],Nodes!A:E,5,0)</f>
        <v>3</v>
      </c>
      <c r="H149">
        <f>VLOOKUP(Table1[[#This Row],[Called Node]],Nodes!A:D,4,0)</f>
        <v>22</v>
      </c>
      <c r="I149">
        <f>VLOOKUP(Table1[[#This Row],[Called Node]],Nodes!A:E,5,0)</f>
        <v>27</v>
      </c>
    </row>
    <row r="150" spans="1:9" x14ac:dyDescent="0.3">
      <c r="A150" t="s">
        <v>73</v>
      </c>
      <c r="B150" t="str">
        <f>VLOOKUP(Table1[[#This Row],[Calling Node]],Nodes!A:B,2,0)</f>
        <v>annual_stats_homepage</v>
      </c>
      <c r="C150" t="s">
        <v>74</v>
      </c>
      <c r="D150" t="str">
        <f>VLOOKUP(Table1[[#This Row],[Called Node]],Nodes!A:B,2,0)</f>
        <v>show_fiscal_year_details</v>
      </c>
      <c r="E150" s="3" t="str">
        <f>Table1[[#This Row],[Calling Node]]&amp;" -&gt; "&amp;Table1[[#This Row],[Called Node]]</f>
        <v>annual_stats_homepage -&gt; show_fiscal_year_details</v>
      </c>
      <c r="F150">
        <f>VLOOKUP(Table1[[#This Row],[Calling Node]],Nodes!A:D,4,0)</f>
        <v>16</v>
      </c>
      <c r="G150">
        <f>VLOOKUP(Table1[[#This Row],[Calling Node]],Nodes!A:E,5,0)</f>
        <v>1</v>
      </c>
      <c r="H150">
        <f>VLOOKUP(Table1[[#This Row],[Called Node]],Nodes!A:D,4,0)</f>
        <v>16</v>
      </c>
      <c r="I150">
        <f>VLOOKUP(Table1[[#This Row],[Called Node]],Nodes!A:E,5,0)</f>
        <v>2</v>
      </c>
    </row>
    <row r="151" spans="1:9" x14ac:dyDescent="0.3">
      <c r="A151" t="s">
        <v>73</v>
      </c>
      <c r="B151" t="str">
        <f>VLOOKUP(Table1[[#This Row],[Calling Node]],Nodes!A:B,2,0)</f>
        <v>annual_stats_homepage</v>
      </c>
      <c r="C151" t="s">
        <v>123</v>
      </c>
      <c r="D151" t="str">
        <f>VLOOKUP(Table1[[#This Row],[Called Node]],Nodes!A:B,2,0)</f>
        <v>query_database</v>
      </c>
      <c r="E151" s="3" t="str">
        <f>Table1[[#This Row],[Calling Node]]&amp;" -&gt; "&amp;Table1[[#This Row],[Called Node]]</f>
        <v>annual_stats_homepage -&gt; query_database</v>
      </c>
      <c r="F151">
        <f>VLOOKUP(Table1[[#This Row],[Calling Node]],Nodes!A:D,4,0)</f>
        <v>16</v>
      </c>
      <c r="G151">
        <f>VLOOKUP(Table1[[#This Row],[Calling Node]],Nodes!A:E,5,0)</f>
        <v>1</v>
      </c>
      <c r="H151">
        <f>VLOOKUP(Table1[[#This Row],[Called Node]],Nodes!A:D,4,0)</f>
        <v>22</v>
      </c>
      <c r="I151">
        <f>VLOOKUP(Table1[[#This Row],[Called Node]],Nodes!A:E,5,0)</f>
        <v>17</v>
      </c>
    </row>
    <row r="152" spans="1:9" x14ac:dyDescent="0.3">
      <c r="A152" t="s">
        <v>73</v>
      </c>
      <c r="B152" t="str">
        <f>VLOOKUP(Table1[[#This Row],[Calling Node]],Nodes!A:B,2,0)</f>
        <v>annual_stats_homepage</v>
      </c>
      <c r="C152" t="s">
        <v>142</v>
      </c>
      <c r="D152" t="str">
        <f>VLOOKUP(Table1[[#This Row],[Called Node]],Nodes!A:B,2,0)</f>
        <v>Flask_error_statement</v>
      </c>
      <c r="E152" s="3" t="str">
        <f>Table1[[#This Row],[Calling Node]]&amp;" -&gt; "&amp;Table1[[#This Row],[Called Node]]</f>
        <v>annual_stats_homepage -&gt; Flask_error_statement</v>
      </c>
      <c r="F152">
        <f>VLOOKUP(Table1[[#This Row],[Calling Node]],Nodes!A:D,4,0)</f>
        <v>16</v>
      </c>
      <c r="G152">
        <f>VLOOKUP(Table1[[#This Row],[Calling Node]],Nodes!A:E,5,0)</f>
        <v>1</v>
      </c>
      <c r="H152">
        <f>VLOOKUP(Table1[[#This Row],[Called Node]],Nodes!A:D,4,0)</f>
        <v>23</v>
      </c>
      <c r="I152">
        <f>VLOOKUP(Table1[[#This Row],[Called Node]],Nodes!A:E,5,0)</f>
        <v>8</v>
      </c>
    </row>
    <row r="153" spans="1:9" x14ac:dyDescent="0.3">
      <c r="A153" t="s">
        <v>73</v>
      </c>
      <c r="B153" t="str">
        <f>VLOOKUP(Table1[[#This Row],[Calling Node]],Nodes!A:B,2,0)</f>
        <v>annual_stats_homepage</v>
      </c>
      <c r="C153" t="s">
        <v>152</v>
      </c>
      <c r="D153" t="str">
        <f>VLOOKUP(Table1[[#This Row],[Called Node]],Nodes!A:B,2,0)</f>
        <v>database_query_fail_statement</v>
      </c>
      <c r="E153" s="3" t="str">
        <f>Table1[[#This Row],[Calling Node]]&amp;" -&gt; "&amp;Table1[[#This Row],[Called Node]]</f>
        <v>annual_stats_homepage -&gt; database_query_fail_statement</v>
      </c>
      <c r="F153">
        <f>VLOOKUP(Table1[[#This Row],[Calling Node]],Nodes!A:D,4,0)</f>
        <v>16</v>
      </c>
      <c r="G153">
        <f>VLOOKUP(Table1[[#This Row],[Calling Node]],Nodes!A:E,5,0)</f>
        <v>1</v>
      </c>
      <c r="H153">
        <f>VLOOKUP(Table1[[#This Row],[Called Node]],Nodes!A:D,4,0)</f>
        <v>23</v>
      </c>
      <c r="I153">
        <f>VLOOKUP(Table1[[#This Row],[Called Node]],Nodes!A:E,5,0)</f>
        <v>18</v>
      </c>
    </row>
    <row r="154" spans="1:9" x14ac:dyDescent="0.3">
      <c r="A154" t="s">
        <v>74</v>
      </c>
      <c r="B154" t="str">
        <f>VLOOKUP(Table1[[#This Row],[Calling Node]],Nodes!A:B,2,0)</f>
        <v>show_fiscal_year_details</v>
      </c>
      <c r="C154" t="s">
        <v>462</v>
      </c>
      <c r="D154" s="2" t="str">
        <f>VLOOKUP(Table1[[#This Row],[Called Node]],Nodes!A:B,2,0)</f>
        <v>state_data_types</v>
      </c>
      <c r="E154" s="3" t="str">
        <f>Table1[[#This Row],[Calling Node]]&amp;" -&gt; "&amp;Table1[[#This Row],[Called Node]]</f>
        <v>show_fiscal_year_details -&gt; state_data_types_in_FiscalYears</v>
      </c>
      <c r="F154">
        <f>VLOOKUP(Table1[[#This Row],[Calling Node]],Nodes!A:D,4,0)</f>
        <v>16</v>
      </c>
      <c r="G154">
        <f>VLOOKUP(Table1[[#This Row],[Calling Node]],Nodes!A:E,5,0)</f>
        <v>2</v>
      </c>
      <c r="H154">
        <f>VLOOKUP(Table1[[#This Row],[Called Node]],Nodes!A:D,4,0)</f>
        <v>2</v>
      </c>
      <c r="I154">
        <f>VLOOKUP(Table1[[#This Row],[Called Node]],Nodes!A:E,5,0)</f>
        <v>1</v>
      </c>
    </row>
    <row r="155" spans="1:9" x14ac:dyDescent="0.3">
      <c r="A155" t="s">
        <v>74</v>
      </c>
      <c r="B155" t="str">
        <f>VLOOKUP(Table1[[#This Row],[Calling Node]],Nodes!A:B,2,0)</f>
        <v>show_fiscal_year_details</v>
      </c>
      <c r="C155" t="s">
        <v>50</v>
      </c>
      <c r="D155" s="2" t="str">
        <f>VLOOKUP(Table1[[#This Row],[Called Node]],Nodes!A:B,2,0)</f>
        <v>state_data_types</v>
      </c>
      <c r="E155" s="3" t="str">
        <f>Table1[[#This Row],[Calling Node]]&amp;" -&gt; "&amp;Table1[[#This Row],[Called Node]]</f>
        <v>show_fiscal_year_details -&gt; state_data_types_in_annualUsageCollectionTracking</v>
      </c>
      <c r="F155">
        <f>VLOOKUP(Table1[[#This Row],[Calling Node]],Nodes!A:D,4,0)</f>
        <v>16</v>
      </c>
      <c r="G155">
        <f>VLOOKUP(Table1[[#This Row],[Calling Node]],Nodes!A:E,5,0)</f>
        <v>2</v>
      </c>
      <c r="H155">
        <f>VLOOKUP(Table1[[#This Row],[Called Node]],Nodes!A:D,4,0)</f>
        <v>11</v>
      </c>
      <c r="I155">
        <f>VLOOKUP(Table1[[#This Row],[Called Node]],Nodes!A:E,5,0)</f>
        <v>1</v>
      </c>
    </row>
    <row r="156" spans="1:9" x14ac:dyDescent="0.3">
      <c r="A156" t="s">
        <v>74</v>
      </c>
      <c r="B156" t="str">
        <f>VLOOKUP(Table1[[#This Row],[Calling Node]],Nodes!A:B,2,0)</f>
        <v>show_fiscal_year_details</v>
      </c>
      <c r="C156" t="s">
        <v>73</v>
      </c>
      <c r="D156" t="str">
        <f>VLOOKUP(Table1[[#This Row],[Called Node]],Nodes!A:B,2,0)</f>
        <v>annual_stats_homepage</v>
      </c>
      <c r="E156" s="3" t="str">
        <f>Table1[[#This Row],[Calling Node]]&amp;" -&gt; "&amp;Table1[[#This Row],[Called Node]]</f>
        <v>show_fiscal_year_details -&gt; annual_stats_homepage</v>
      </c>
      <c r="F156">
        <f>VLOOKUP(Table1[[#This Row],[Calling Node]],Nodes!A:D,4,0)</f>
        <v>16</v>
      </c>
      <c r="G156">
        <f>VLOOKUP(Table1[[#This Row],[Calling Node]],Nodes!A:E,5,0)</f>
        <v>2</v>
      </c>
      <c r="H156">
        <f>VLOOKUP(Table1[[#This Row],[Called Node]],Nodes!A:D,4,0)</f>
        <v>16</v>
      </c>
      <c r="I156">
        <f>VLOOKUP(Table1[[#This Row],[Called Node]],Nodes!A:E,5,0)</f>
        <v>1</v>
      </c>
    </row>
    <row r="157" spans="1:9" x14ac:dyDescent="0.3">
      <c r="A157" t="s">
        <v>74</v>
      </c>
      <c r="B157" t="str">
        <f>VLOOKUP(Table1[[#This Row],[Calling Node]],Nodes!A:B,2,0)</f>
        <v>show_fiscal_year_details</v>
      </c>
      <c r="C157" t="s">
        <v>123</v>
      </c>
      <c r="D157" t="str">
        <f>VLOOKUP(Table1[[#This Row],[Called Node]],Nodes!A:B,2,0)</f>
        <v>query_database</v>
      </c>
      <c r="E157" s="3" t="str">
        <f>Table1[[#This Row],[Calling Node]]&amp;" -&gt; "&amp;Table1[[#This Row],[Called Node]]</f>
        <v>show_fiscal_year_details -&gt; query_database</v>
      </c>
      <c r="F157">
        <f>VLOOKUP(Table1[[#This Row],[Calling Node]],Nodes!A:D,4,0)</f>
        <v>16</v>
      </c>
      <c r="G157">
        <f>VLOOKUP(Table1[[#This Row],[Calling Node]],Nodes!A:E,5,0)</f>
        <v>2</v>
      </c>
      <c r="H157">
        <f>VLOOKUP(Table1[[#This Row],[Called Node]],Nodes!A:D,4,0)</f>
        <v>22</v>
      </c>
      <c r="I157">
        <f>VLOOKUP(Table1[[#This Row],[Called Node]],Nodes!A:E,5,0)</f>
        <v>17</v>
      </c>
    </row>
    <row r="158" spans="1:9" x14ac:dyDescent="0.3">
      <c r="A158" t="s">
        <v>74</v>
      </c>
      <c r="B158" t="str">
        <f>VLOOKUP(Table1[[#This Row],[Calling Node]],Nodes!A:B,2,0)</f>
        <v>show_fiscal_year_details</v>
      </c>
      <c r="C158" t="s">
        <v>142</v>
      </c>
      <c r="D158" t="str">
        <f>VLOOKUP(Table1[[#This Row],[Called Node]],Nodes!A:B,2,0)</f>
        <v>Flask_error_statement</v>
      </c>
      <c r="E158" s="3" t="str">
        <f>Table1[[#This Row],[Calling Node]]&amp;" -&gt; "&amp;Table1[[#This Row],[Called Node]]</f>
        <v>show_fiscal_year_details -&gt; Flask_error_statement</v>
      </c>
      <c r="F158">
        <f>VLOOKUP(Table1[[#This Row],[Calling Node]],Nodes!A:D,4,0)</f>
        <v>16</v>
      </c>
      <c r="G158">
        <f>VLOOKUP(Table1[[#This Row],[Calling Node]],Nodes!A:E,5,0)</f>
        <v>2</v>
      </c>
      <c r="H158">
        <f>VLOOKUP(Table1[[#This Row],[Called Node]],Nodes!A:D,4,0)</f>
        <v>23</v>
      </c>
      <c r="I158">
        <f>VLOOKUP(Table1[[#This Row],[Called Node]],Nodes!A:E,5,0)</f>
        <v>8</v>
      </c>
    </row>
    <row r="159" spans="1:9" x14ac:dyDescent="0.3">
      <c r="A159" t="s">
        <v>74</v>
      </c>
      <c r="B159" t="str">
        <f>VLOOKUP(Table1[[#This Row],[Calling Node]],Nodes!A:B,2,0)</f>
        <v>show_fiscal_year_details</v>
      </c>
      <c r="C159" t="s">
        <v>152</v>
      </c>
      <c r="D159" t="str">
        <f>VLOOKUP(Table1[[#This Row],[Called Node]],Nodes!A:B,2,0)</f>
        <v>database_query_fail_statement</v>
      </c>
      <c r="E159" s="3" t="str">
        <f>Table1[[#This Row],[Calling Node]]&amp;" -&gt; "&amp;Table1[[#This Row],[Called Node]]</f>
        <v>show_fiscal_year_details -&gt; database_query_fail_statement</v>
      </c>
      <c r="F159">
        <f>VLOOKUP(Table1[[#This Row],[Calling Node]],Nodes!A:D,4,0)</f>
        <v>16</v>
      </c>
      <c r="G159">
        <f>VLOOKUP(Table1[[#This Row],[Calling Node]],Nodes!A:E,5,0)</f>
        <v>2</v>
      </c>
      <c r="H159">
        <f>VLOOKUP(Table1[[#This Row],[Called Node]],Nodes!A:D,4,0)</f>
        <v>23</v>
      </c>
      <c r="I159">
        <f>VLOOKUP(Table1[[#This Row],[Called Node]],Nodes!A:E,5,0)</f>
        <v>18</v>
      </c>
    </row>
    <row r="160" spans="1:9" x14ac:dyDescent="0.3">
      <c r="A160" t="s">
        <v>77</v>
      </c>
      <c r="B160" t="str">
        <f>VLOOKUP(Table1[[#This Row],[Calling Node]],Nodes!A:B,2,0)</f>
        <v>upload_COUNTER_data</v>
      </c>
      <c r="C160" t="s">
        <v>65</v>
      </c>
      <c r="D160" s="2" t="str">
        <f>VLOOKUP(Table1[[#This Row],[Called Node]],Nodes!A:B,2,0)</f>
        <v>create_dataframe</v>
      </c>
      <c r="E160" s="3" t="str">
        <f>Table1[[#This Row],[Calling Node]]&amp;" -&gt; "&amp;Table1[[#This Row],[Called Node]]</f>
        <v>upload_COUNTER_data -&gt; create_dataframe_in_UploadCOUNTERReports</v>
      </c>
      <c r="F160">
        <f>VLOOKUP(Table1[[#This Row],[Calling Node]],Nodes!A:D,4,0)</f>
        <v>17</v>
      </c>
      <c r="G160">
        <f>VLOOKUP(Table1[[#This Row],[Calling Node]],Nodes!A:E,5,0)</f>
        <v>2</v>
      </c>
      <c r="H160">
        <f>VLOOKUP(Table1[[#This Row],[Called Node]],Nodes!A:D,4,0)</f>
        <v>14</v>
      </c>
      <c r="I160">
        <f>VLOOKUP(Table1[[#This Row],[Called Node]],Nodes!A:E,5,0)</f>
        <v>1</v>
      </c>
    </row>
    <row r="161" spans="1:9" x14ac:dyDescent="0.3">
      <c r="A161" t="s">
        <v>77</v>
      </c>
      <c r="B161" t="str">
        <f>VLOOKUP(Table1[[#This Row],[Calling Node]],Nodes!A:B,2,0)</f>
        <v>upload_COUNTER_data</v>
      </c>
      <c r="C161" t="s">
        <v>76</v>
      </c>
      <c r="D161" t="str">
        <f>VLOOKUP(Table1[[#This Row],[Called Node]],Nodes!A:B,2,0)</f>
        <v>ingest_usage_homepage</v>
      </c>
      <c r="E161" s="3" t="str">
        <f>Table1[[#This Row],[Calling Node]]&amp;" -&gt; "&amp;Table1[[#This Row],[Called Node]]</f>
        <v>upload_COUNTER_data -&gt; ingest_usage_homepage</v>
      </c>
      <c r="F161">
        <f>VLOOKUP(Table1[[#This Row],[Calling Node]],Nodes!A:D,4,0)</f>
        <v>17</v>
      </c>
      <c r="G161">
        <f>VLOOKUP(Table1[[#This Row],[Calling Node]],Nodes!A:E,5,0)</f>
        <v>2</v>
      </c>
      <c r="H161">
        <f>VLOOKUP(Table1[[#This Row],[Called Node]],Nodes!A:D,4,0)</f>
        <v>17</v>
      </c>
      <c r="I161">
        <f>VLOOKUP(Table1[[#This Row],[Called Node]],Nodes!A:E,5,0)</f>
        <v>1</v>
      </c>
    </row>
    <row r="162" spans="1:9" x14ac:dyDescent="0.3">
      <c r="A162" t="s">
        <v>77</v>
      </c>
      <c r="B162" t="str">
        <f>VLOOKUP(Table1[[#This Row],[Calling Node]],Nodes!A:B,2,0)</f>
        <v>upload_COUNTER_data</v>
      </c>
      <c r="C162" t="s">
        <v>116</v>
      </c>
      <c r="D162" t="str">
        <f>VLOOKUP(Table1[[#This Row],[Called Node]],Nodes!A:B,2,0)</f>
        <v>first_new_PK_value</v>
      </c>
      <c r="E162" s="3" t="str">
        <f>Table1[[#This Row],[Calling Node]]&amp;" -&gt; "&amp;Table1[[#This Row],[Called Node]]</f>
        <v>upload_COUNTER_data -&gt; first_new_PK_value</v>
      </c>
      <c r="F162">
        <f>VLOOKUP(Table1[[#This Row],[Calling Node]],Nodes!A:D,4,0)</f>
        <v>17</v>
      </c>
      <c r="G162">
        <f>VLOOKUP(Table1[[#This Row],[Calling Node]],Nodes!A:E,5,0)</f>
        <v>2</v>
      </c>
      <c r="H162">
        <f>VLOOKUP(Table1[[#This Row],[Called Node]],Nodes!A:D,4,0)</f>
        <v>22</v>
      </c>
      <c r="I162">
        <f>VLOOKUP(Table1[[#This Row],[Called Node]],Nodes!A:E,5,0)</f>
        <v>10</v>
      </c>
    </row>
    <row r="163" spans="1:9" x14ac:dyDescent="0.3">
      <c r="A163" t="s">
        <v>77</v>
      </c>
      <c r="B163" t="str">
        <f>VLOOKUP(Table1[[#This Row],[Calling Node]],Nodes!A:B,2,0)</f>
        <v>upload_COUNTER_data</v>
      </c>
      <c r="C163" t="s">
        <v>122</v>
      </c>
      <c r="D163" t="str">
        <f>VLOOKUP(Table1[[#This Row],[Called Node]],Nodes!A:B,2,0)</f>
        <v>load_data_into_database</v>
      </c>
      <c r="E163" s="3" t="str">
        <f>Table1[[#This Row],[Calling Node]]&amp;" -&gt; "&amp;Table1[[#This Row],[Called Node]]</f>
        <v>upload_COUNTER_data -&gt; load_data_into_database</v>
      </c>
      <c r="F163">
        <f>VLOOKUP(Table1[[#This Row],[Calling Node]],Nodes!A:D,4,0)</f>
        <v>17</v>
      </c>
      <c r="G163">
        <f>VLOOKUP(Table1[[#This Row],[Calling Node]],Nodes!A:E,5,0)</f>
        <v>2</v>
      </c>
      <c r="H163">
        <f>VLOOKUP(Table1[[#This Row],[Called Node]],Nodes!A:D,4,0)</f>
        <v>22</v>
      </c>
      <c r="I163">
        <f>VLOOKUP(Table1[[#This Row],[Called Node]],Nodes!A:E,5,0)</f>
        <v>16</v>
      </c>
    </row>
    <row r="164" spans="1:9" x14ac:dyDescent="0.3">
      <c r="A164" t="s">
        <v>77</v>
      </c>
      <c r="B164" t="str">
        <f>VLOOKUP(Table1[[#This Row],[Calling Node]],Nodes!A:B,2,0)</f>
        <v>upload_COUNTER_data</v>
      </c>
      <c r="C164" t="s">
        <v>124</v>
      </c>
      <c r="D164" t="str">
        <f>VLOOKUP(Table1[[#This Row],[Called Node]],Nodes!A:B,2,0)</f>
        <v>check_if_data_already_in_COUNTERData</v>
      </c>
      <c r="E164" s="3" t="str">
        <f>Table1[[#This Row],[Calling Node]]&amp;" -&gt; "&amp;Table1[[#This Row],[Called Node]]</f>
        <v>upload_COUNTER_data -&gt; check_if_data_already_in_COUNTERData</v>
      </c>
      <c r="F164">
        <f>VLOOKUP(Table1[[#This Row],[Calling Node]],Nodes!A:D,4,0)</f>
        <v>17</v>
      </c>
      <c r="G164">
        <f>VLOOKUP(Table1[[#This Row],[Calling Node]],Nodes!A:E,5,0)</f>
        <v>2</v>
      </c>
      <c r="H164">
        <f>VLOOKUP(Table1[[#This Row],[Called Node]],Nodes!A:D,4,0)</f>
        <v>22</v>
      </c>
      <c r="I164">
        <f>VLOOKUP(Table1[[#This Row],[Called Node]],Nodes!A:E,5,0)</f>
        <v>18</v>
      </c>
    </row>
    <row r="165" spans="1:9" x14ac:dyDescent="0.3">
      <c r="A165" t="s">
        <v>77</v>
      </c>
      <c r="B165" t="str">
        <f>VLOOKUP(Table1[[#This Row],[Calling Node]],Nodes!A:B,2,0)</f>
        <v>upload_COUNTER_data</v>
      </c>
      <c r="C165" t="s">
        <v>125</v>
      </c>
      <c r="D165" t="str">
        <f>VLOOKUP(Table1[[#This Row],[Called Node]],Nodes!A:B,2,0)</f>
        <v>truncate_longer_lines</v>
      </c>
      <c r="E165" s="3" t="str">
        <f>Table1[[#This Row],[Calling Node]]&amp;" -&gt; "&amp;Table1[[#This Row],[Called Node]]</f>
        <v>upload_COUNTER_data -&gt; truncate_longer_lines</v>
      </c>
      <c r="F165">
        <f>VLOOKUP(Table1[[#This Row],[Calling Node]],Nodes!A:D,4,0)</f>
        <v>17</v>
      </c>
      <c r="G165">
        <f>VLOOKUP(Table1[[#This Row],[Calling Node]],Nodes!A:E,5,0)</f>
        <v>2</v>
      </c>
      <c r="H165">
        <f>VLOOKUP(Table1[[#This Row],[Called Node]],Nodes!A:D,4,0)</f>
        <v>22</v>
      </c>
      <c r="I165">
        <f>VLOOKUP(Table1[[#This Row],[Called Node]],Nodes!A:E,5,0)</f>
        <v>19</v>
      </c>
    </row>
    <row r="166" spans="1:9" x14ac:dyDescent="0.3">
      <c r="A166" t="s">
        <v>77</v>
      </c>
      <c r="B166" t="str">
        <f>VLOOKUP(Table1[[#This Row],[Calling Node]],Nodes!A:B,2,0)</f>
        <v>upload_COUNTER_data</v>
      </c>
      <c r="C166" t="s">
        <v>126</v>
      </c>
      <c r="D166" t="str">
        <f>VLOOKUP(Table1[[#This Row],[Called Node]],Nodes!A:B,2,0)</f>
        <v>update_database</v>
      </c>
      <c r="E166" s="3" t="str">
        <f>Table1[[#This Row],[Calling Node]]&amp;" -&gt; "&amp;Table1[[#This Row],[Called Node]]</f>
        <v>upload_COUNTER_data -&gt; update_database</v>
      </c>
      <c r="F166">
        <f>VLOOKUP(Table1[[#This Row],[Calling Node]],Nodes!A:D,4,0)</f>
        <v>17</v>
      </c>
      <c r="G166">
        <f>VLOOKUP(Table1[[#This Row],[Calling Node]],Nodes!A:E,5,0)</f>
        <v>2</v>
      </c>
      <c r="H166">
        <f>VLOOKUP(Table1[[#This Row],[Called Node]],Nodes!A:D,4,0)</f>
        <v>22</v>
      </c>
      <c r="I166">
        <f>VLOOKUP(Table1[[#This Row],[Called Node]],Nodes!A:E,5,0)</f>
        <v>20</v>
      </c>
    </row>
    <row r="167" spans="1:9" x14ac:dyDescent="0.3">
      <c r="A167" t="s">
        <v>77</v>
      </c>
      <c r="B167" t="str">
        <f>VLOOKUP(Table1[[#This Row],[Calling Node]],Nodes!A:B,2,0)</f>
        <v>upload_COUNTER_data</v>
      </c>
      <c r="C167" t="s">
        <v>136</v>
      </c>
      <c r="D167" t="str">
        <f>VLOOKUP(Table1[[#This Row],[Called Node]],Nodes!A:B,2,0)</f>
        <v>format_list_for_stdout</v>
      </c>
      <c r="E167" s="3" t="str">
        <f>Table1[[#This Row],[Calling Node]]&amp;" -&gt; "&amp;Table1[[#This Row],[Called Node]]</f>
        <v>upload_COUNTER_data -&gt; format_list_for_stdout</v>
      </c>
      <c r="F167">
        <f>VLOOKUP(Table1[[#This Row],[Calling Node]],Nodes!A:D,4,0)</f>
        <v>17</v>
      </c>
      <c r="G167">
        <f>VLOOKUP(Table1[[#This Row],[Calling Node]],Nodes!A:E,5,0)</f>
        <v>2</v>
      </c>
      <c r="H167">
        <f>VLOOKUP(Table1[[#This Row],[Called Node]],Nodes!A:D,4,0)</f>
        <v>23</v>
      </c>
      <c r="I167">
        <f>VLOOKUP(Table1[[#This Row],[Called Node]],Nodes!A:E,5,0)</f>
        <v>2</v>
      </c>
    </row>
    <row r="168" spans="1:9" x14ac:dyDescent="0.3">
      <c r="A168" t="s">
        <v>77</v>
      </c>
      <c r="B168" t="str">
        <f>VLOOKUP(Table1[[#This Row],[Calling Node]],Nodes!A:B,2,0)</f>
        <v>upload_COUNTER_data</v>
      </c>
      <c r="C168" t="s">
        <v>140</v>
      </c>
      <c r="D168" t="str">
        <f>VLOOKUP(Table1[[#This Row],[Called Node]],Nodes!A:B,2,0)</f>
        <v>unable_to_convert_SUSHI_data_to_dataframe_statement</v>
      </c>
      <c r="E168" s="3" t="str">
        <f>Table1[[#This Row],[Calling Node]]&amp;" -&gt; "&amp;Table1[[#This Row],[Called Node]]</f>
        <v>upload_COUNTER_data -&gt; unable_to_convert_SUSHI_data_to_dataframe_statement</v>
      </c>
      <c r="F168">
        <f>VLOOKUP(Table1[[#This Row],[Calling Node]],Nodes!A:D,4,0)</f>
        <v>17</v>
      </c>
      <c r="G168">
        <f>VLOOKUP(Table1[[#This Row],[Calling Node]],Nodes!A:E,5,0)</f>
        <v>2</v>
      </c>
      <c r="H168">
        <f>VLOOKUP(Table1[[#This Row],[Called Node]],Nodes!A:D,4,0)</f>
        <v>23</v>
      </c>
      <c r="I168">
        <f>VLOOKUP(Table1[[#This Row],[Called Node]],Nodes!A:E,5,0)</f>
        <v>6</v>
      </c>
    </row>
    <row r="169" spans="1:9" x14ac:dyDescent="0.3">
      <c r="A169" t="s">
        <v>77</v>
      </c>
      <c r="B169" t="str">
        <f>VLOOKUP(Table1[[#This Row],[Calling Node]],Nodes!A:B,2,0)</f>
        <v>upload_COUNTER_data</v>
      </c>
      <c r="C169" t="s">
        <v>141</v>
      </c>
      <c r="D169" t="str">
        <f>VLOOKUP(Table1[[#This Row],[Called Node]],Nodes!A:B,2,0)</f>
        <v>unable_to_get_updated_primary_key_values_statement</v>
      </c>
      <c r="E169" s="3" t="str">
        <f>Table1[[#This Row],[Calling Node]]&amp;" -&gt; "&amp;Table1[[#This Row],[Called Node]]</f>
        <v>upload_COUNTER_data -&gt; unable_to_get_updated_primary_key_values_statement</v>
      </c>
      <c r="F169">
        <f>VLOOKUP(Table1[[#This Row],[Calling Node]],Nodes!A:D,4,0)</f>
        <v>17</v>
      </c>
      <c r="G169">
        <f>VLOOKUP(Table1[[#This Row],[Calling Node]],Nodes!A:E,5,0)</f>
        <v>2</v>
      </c>
      <c r="H169">
        <f>VLOOKUP(Table1[[#This Row],[Called Node]],Nodes!A:D,4,0)</f>
        <v>23</v>
      </c>
      <c r="I169">
        <f>VLOOKUP(Table1[[#This Row],[Called Node]],Nodes!A:E,5,0)</f>
        <v>7</v>
      </c>
    </row>
    <row r="170" spans="1:9" x14ac:dyDescent="0.3">
      <c r="A170" t="s">
        <v>77</v>
      </c>
      <c r="B170" t="str">
        <f>VLOOKUP(Table1[[#This Row],[Calling Node]],Nodes!A:B,2,0)</f>
        <v>upload_COUNTER_data</v>
      </c>
      <c r="C170" t="s">
        <v>142</v>
      </c>
      <c r="D170" t="str">
        <f>VLOOKUP(Table1[[#This Row],[Called Node]],Nodes!A:B,2,0)</f>
        <v>Flask_error_statement</v>
      </c>
      <c r="E170" s="3" t="str">
        <f>Table1[[#This Row],[Calling Node]]&amp;" -&gt; "&amp;Table1[[#This Row],[Called Node]]</f>
        <v>upload_COUNTER_data -&gt; Flask_error_statement</v>
      </c>
      <c r="F170">
        <f>VLOOKUP(Table1[[#This Row],[Calling Node]],Nodes!A:D,4,0)</f>
        <v>17</v>
      </c>
      <c r="G170">
        <f>VLOOKUP(Table1[[#This Row],[Calling Node]],Nodes!A:E,5,0)</f>
        <v>2</v>
      </c>
      <c r="H170">
        <f>VLOOKUP(Table1[[#This Row],[Called Node]],Nodes!A:D,4,0)</f>
        <v>23</v>
      </c>
      <c r="I170">
        <f>VLOOKUP(Table1[[#This Row],[Called Node]],Nodes!A:E,5,0)</f>
        <v>8</v>
      </c>
    </row>
    <row r="171" spans="1:9" x14ac:dyDescent="0.3">
      <c r="A171" t="s">
        <v>77</v>
      </c>
      <c r="B171" t="str">
        <f>VLOOKUP(Table1[[#This Row],[Calling Node]],Nodes!A:B,2,0)</f>
        <v>upload_COUNTER_data</v>
      </c>
      <c r="C171" t="s">
        <v>153</v>
      </c>
      <c r="D171" t="str">
        <f>VLOOKUP(Table1[[#This Row],[Called Node]],Nodes!A:B,2,0)</f>
        <v>database_update_fail_statement</v>
      </c>
      <c r="E171" s="3" t="str">
        <f>Table1[[#This Row],[Calling Node]]&amp;" -&gt; "&amp;Table1[[#This Row],[Called Node]]</f>
        <v>upload_COUNTER_data -&gt; database_update_fail_statement</v>
      </c>
      <c r="F171">
        <f>VLOOKUP(Table1[[#This Row],[Calling Node]],Nodes!A:D,4,0)</f>
        <v>17</v>
      </c>
      <c r="G171">
        <f>VLOOKUP(Table1[[#This Row],[Calling Node]],Nodes!A:E,5,0)</f>
        <v>2</v>
      </c>
      <c r="H171">
        <f>VLOOKUP(Table1[[#This Row],[Called Node]],Nodes!A:D,4,0)</f>
        <v>23</v>
      </c>
      <c r="I171">
        <f>VLOOKUP(Table1[[#This Row],[Called Node]],Nodes!A:E,5,0)</f>
        <v>19</v>
      </c>
    </row>
    <row r="172" spans="1:9" x14ac:dyDescent="0.3">
      <c r="A172" t="s">
        <v>77</v>
      </c>
      <c r="B172" t="str">
        <f>VLOOKUP(Table1[[#This Row],[Calling Node]],Nodes!A:B,2,0)</f>
        <v>upload_COUNTER_data</v>
      </c>
      <c r="C172" t="s">
        <v>157</v>
      </c>
      <c r="D172" t="str">
        <f>VLOOKUP(Table1[[#This Row],[Called Node]],Nodes!A:B,2,0)</f>
        <v>update_database_success_regex</v>
      </c>
      <c r="E172" s="3" t="str">
        <f>Table1[[#This Row],[Calling Node]]&amp;" -&gt; "&amp;Table1[[#This Row],[Called Node]]</f>
        <v>upload_COUNTER_data -&gt; update_database_success_regex</v>
      </c>
      <c r="F172">
        <f>VLOOKUP(Table1[[#This Row],[Calling Node]],Nodes!A:D,4,0)</f>
        <v>17</v>
      </c>
      <c r="G172">
        <f>VLOOKUP(Table1[[#This Row],[Calling Node]],Nodes!A:E,5,0)</f>
        <v>2</v>
      </c>
      <c r="H172">
        <f>VLOOKUP(Table1[[#This Row],[Called Node]],Nodes!A:D,4,0)</f>
        <v>23</v>
      </c>
      <c r="I172">
        <f>VLOOKUP(Table1[[#This Row],[Called Node]],Nodes!A:E,5,0)</f>
        <v>23</v>
      </c>
    </row>
    <row r="173" spans="1:9" x14ac:dyDescent="0.3">
      <c r="A173" t="s">
        <v>78</v>
      </c>
      <c r="B173" t="str">
        <f>VLOOKUP(Table1[[#This Row],[Calling Node]],Nodes!A:B,2,0)</f>
        <v>harvest_SUSHI_statistics</v>
      </c>
      <c r="C173" t="s">
        <v>35</v>
      </c>
      <c r="D173" t="str">
        <f>VLOOKUP(Table1[[#This Row],[Called Node]],Nodes!A:B,2,0)</f>
        <v>collect_usage_statistics</v>
      </c>
      <c r="E173" s="3" t="str">
        <f>Table1[[#This Row],[Calling Node]]&amp;" -&gt; "&amp;Table1[[#This Row],[Called Node]]</f>
        <v>harvest_SUSHI_statistics -&gt; collect_usage_statistics</v>
      </c>
      <c r="F173">
        <f>VLOOKUP(Table1[[#This Row],[Calling Node]],Nodes!A:D,4,0)</f>
        <v>17</v>
      </c>
      <c r="G173">
        <f>VLOOKUP(Table1[[#This Row],[Calling Node]],Nodes!A:E,5,0)</f>
        <v>3</v>
      </c>
      <c r="H173">
        <f>VLOOKUP(Table1[[#This Row],[Called Node]],Nodes!A:D,4,0)</f>
        <v>6</v>
      </c>
      <c r="I173">
        <f>VLOOKUP(Table1[[#This Row],[Called Node]],Nodes!A:E,5,0)</f>
        <v>6</v>
      </c>
    </row>
    <row r="174" spans="1:9" x14ac:dyDescent="0.3">
      <c r="A174" t="s">
        <v>78</v>
      </c>
      <c r="B174" t="str">
        <f>VLOOKUP(Table1[[#This Row],[Calling Node]],Nodes!A:B,2,0)</f>
        <v>harvest_SUSHI_statistics</v>
      </c>
      <c r="C174" t="s">
        <v>76</v>
      </c>
      <c r="D174" t="str">
        <f>VLOOKUP(Table1[[#This Row],[Called Node]],Nodes!A:B,2,0)</f>
        <v>ingest_usage_homepage</v>
      </c>
      <c r="E174" s="3" t="str">
        <f>Table1[[#This Row],[Calling Node]]&amp;" -&gt; "&amp;Table1[[#This Row],[Called Node]]</f>
        <v>harvest_SUSHI_statistics -&gt; ingest_usage_homepage</v>
      </c>
      <c r="F174">
        <f>VLOOKUP(Table1[[#This Row],[Calling Node]],Nodes!A:D,4,0)</f>
        <v>17</v>
      </c>
      <c r="G174">
        <f>VLOOKUP(Table1[[#This Row],[Calling Node]],Nodes!A:E,5,0)</f>
        <v>3</v>
      </c>
      <c r="H174">
        <f>VLOOKUP(Table1[[#This Row],[Called Node]],Nodes!A:D,4,0)</f>
        <v>17</v>
      </c>
      <c r="I174">
        <f>VLOOKUP(Table1[[#This Row],[Called Node]],Nodes!A:E,5,0)</f>
        <v>1</v>
      </c>
    </row>
    <row r="175" spans="1:9" x14ac:dyDescent="0.3">
      <c r="A175" t="s">
        <v>78</v>
      </c>
      <c r="B175" t="str">
        <f>VLOOKUP(Table1[[#This Row],[Calling Node]],Nodes!A:B,2,0)</f>
        <v>harvest_SUSHI_statistics</v>
      </c>
      <c r="C175" t="s">
        <v>123</v>
      </c>
      <c r="D175" t="str">
        <f>VLOOKUP(Table1[[#This Row],[Called Node]],Nodes!A:B,2,0)</f>
        <v>query_database</v>
      </c>
      <c r="E175" s="3" t="str">
        <f>Table1[[#This Row],[Calling Node]]&amp;" -&gt; "&amp;Table1[[#This Row],[Called Node]]</f>
        <v>harvest_SUSHI_statistics -&gt; query_database</v>
      </c>
      <c r="F175">
        <f>VLOOKUP(Table1[[#This Row],[Calling Node]],Nodes!A:D,4,0)</f>
        <v>17</v>
      </c>
      <c r="G175">
        <f>VLOOKUP(Table1[[#This Row],[Calling Node]],Nodes!A:E,5,0)</f>
        <v>3</v>
      </c>
      <c r="H175">
        <f>VLOOKUP(Table1[[#This Row],[Called Node]],Nodes!A:D,4,0)</f>
        <v>22</v>
      </c>
      <c r="I175">
        <f>VLOOKUP(Table1[[#This Row],[Called Node]],Nodes!A:E,5,0)</f>
        <v>17</v>
      </c>
    </row>
    <row r="176" spans="1:9" x14ac:dyDescent="0.3">
      <c r="A176" t="s">
        <v>78</v>
      </c>
      <c r="B176" t="str">
        <f>VLOOKUP(Table1[[#This Row],[Calling Node]],Nodes!A:B,2,0)</f>
        <v>harvest_SUSHI_statistics</v>
      </c>
      <c r="C176" t="s">
        <v>138</v>
      </c>
      <c r="D176" t="str">
        <f>VLOOKUP(Table1[[#This Row],[Called Node]],Nodes!A:B,2,0)</f>
        <v>initialize_relation_class_object_statement</v>
      </c>
      <c r="E176" s="3" t="str">
        <f>Table1[[#This Row],[Calling Node]]&amp;" -&gt; "&amp;Table1[[#This Row],[Called Node]]</f>
        <v>harvest_SUSHI_statistics -&gt; initialize_relation_class_object_statement</v>
      </c>
      <c r="F176">
        <f>VLOOKUP(Table1[[#This Row],[Calling Node]],Nodes!A:D,4,0)</f>
        <v>17</v>
      </c>
      <c r="G176">
        <f>VLOOKUP(Table1[[#This Row],[Calling Node]],Nodes!A:E,5,0)</f>
        <v>3</v>
      </c>
      <c r="H176">
        <f>VLOOKUP(Table1[[#This Row],[Called Node]],Nodes!A:D,4,0)</f>
        <v>23</v>
      </c>
      <c r="I176">
        <f>VLOOKUP(Table1[[#This Row],[Called Node]],Nodes!A:E,5,0)</f>
        <v>4</v>
      </c>
    </row>
    <row r="177" spans="1:9" x14ac:dyDescent="0.3">
      <c r="A177" t="s">
        <v>78</v>
      </c>
      <c r="B177" t="str">
        <f>VLOOKUP(Table1[[#This Row],[Calling Node]],Nodes!A:B,2,0)</f>
        <v>harvest_SUSHI_statistics</v>
      </c>
      <c r="C177" t="s">
        <v>142</v>
      </c>
      <c r="D177" t="str">
        <f>VLOOKUP(Table1[[#This Row],[Called Node]],Nodes!A:B,2,0)</f>
        <v>Flask_error_statement</v>
      </c>
      <c r="E177" s="3" t="str">
        <f>Table1[[#This Row],[Calling Node]]&amp;" -&gt; "&amp;Table1[[#This Row],[Called Node]]</f>
        <v>harvest_SUSHI_statistics -&gt; Flask_error_statement</v>
      </c>
      <c r="F177">
        <f>VLOOKUP(Table1[[#This Row],[Calling Node]],Nodes!A:D,4,0)</f>
        <v>17</v>
      </c>
      <c r="G177">
        <f>VLOOKUP(Table1[[#This Row],[Calling Node]],Nodes!A:E,5,0)</f>
        <v>3</v>
      </c>
      <c r="H177">
        <f>VLOOKUP(Table1[[#This Row],[Called Node]],Nodes!A:D,4,0)</f>
        <v>23</v>
      </c>
      <c r="I177">
        <f>VLOOKUP(Table1[[#This Row],[Called Node]],Nodes!A:E,5,0)</f>
        <v>8</v>
      </c>
    </row>
    <row r="178" spans="1:9" x14ac:dyDescent="0.3">
      <c r="A178" t="s">
        <v>78</v>
      </c>
      <c r="B178" t="str">
        <f>VLOOKUP(Table1[[#This Row],[Calling Node]],Nodes!A:B,2,0)</f>
        <v>harvest_SUSHI_statistics</v>
      </c>
      <c r="C178" t="s">
        <v>152</v>
      </c>
      <c r="D178" t="str">
        <f>VLOOKUP(Table1[[#This Row],[Called Node]],Nodes!A:B,2,0)</f>
        <v>database_query_fail_statement</v>
      </c>
      <c r="E178" s="3" t="str">
        <f>Table1[[#This Row],[Calling Node]]&amp;" -&gt; "&amp;Table1[[#This Row],[Called Node]]</f>
        <v>harvest_SUSHI_statistics -&gt; database_query_fail_statement</v>
      </c>
      <c r="F178">
        <f>VLOOKUP(Table1[[#This Row],[Calling Node]],Nodes!A:D,4,0)</f>
        <v>17</v>
      </c>
      <c r="G178">
        <f>VLOOKUP(Table1[[#This Row],[Calling Node]],Nodes!A:E,5,0)</f>
        <v>3</v>
      </c>
      <c r="H178">
        <f>VLOOKUP(Table1[[#This Row],[Called Node]],Nodes!A:D,4,0)</f>
        <v>23</v>
      </c>
      <c r="I178">
        <f>VLOOKUP(Table1[[#This Row],[Called Node]],Nodes!A:E,5,0)</f>
        <v>18</v>
      </c>
    </row>
    <row r="179" spans="1:9" x14ac:dyDescent="0.3">
      <c r="A179" t="s">
        <v>79</v>
      </c>
      <c r="B179" t="str">
        <f>VLOOKUP(Table1[[#This Row],[Calling Node]],Nodes!A:B,2,0)</f>
        <v>upload_non_COUNTER_reports</v>
      </c>
      <c r="C179" t="s">
        <v>52</v>
      </c>
      <c r="D179" t="str">
        <f>VLOOKUP(Table1[[#This Row],[Called Node]],Nodes!A:B,2,0)</f>
        <v>upload_nonstandard_usage_file</v>
      </c>
      <c r="E179" s="3" t="str">
        <f>Table1[[#This Row],[Calling Node]]&amp;" -&gt; "&amp;Table1[[#This Row],[Called Node]]</f>
        <v>upload_non_COUNTER_reports -&gt; upload_nonstandard_usage_file</v>
      </c>
      <c r="F179">
        <f>VLOOKUP(Table1[[#This Row],[Calling Node]],Nodes!A:D,4,0)</f>
        <v>17</v>
      </c>
      <c r="G179">
        <f>VLOOKUP(Table1[[#This Row],[Calling Node]],Nodes!A:E,5,0)</f>
        <v>4</v>
      </c>
      <c r="H179">
        <f>VLOOKUP(Table1[[#This Row],[Called Node]],Nodes!A:D,4,0)</f>
        <v>11</v>
      </c>
      <c r="I179">
        <f>VLOOKUP(Table1[[#This Row],[Called Node]],Nodes!A:E,5,0)</f>
        <v>3</v>
      </c>
    </row>
    <row r="180" spans="1:9" x14ac:dyDescent="0.3">
      <c r="A180" t="s">
        <v>79</v>
      </c>
      <c r="B180" t="str">
        <f>VLOOKUP(Table1[[#This Row],[Calling Node]],Nodes!A:B,2,0)</f>
        <v>upload_non_COUNTER_reports</v>
      </c>
      <c r="C180" t="s">
        <v>76</v>
      </c>
      <c r="D180" t="str">
        <f>VLOOKUP(Table1[[#This Row],[Called Node]],Nodes!A:B,2,0)</f>
        <v>ingest_usage_homepage</v>
      </c>
      <c r="E180" s="3" t="str">
        <f>Table1[[#This Row],[Calling Node]]&amp;" -&gt; "&amp;Table1[[#This Row],[Called Node]]</f>
        <v>upload_non_COUNTER_reports -&gt; ingest_usage_homepage</v>
      </c>
      <c r="F180">
        <f>VLOOKUP(Table1[[#This Row],[Calling Node]],Nodes!A:D,4,0)</f>
        <v>17</v>
      </c>
      <c r="G180">
        <f>VLOOKUP(Table1[[#This Row],[Calling Node]],Nodes!A:E,5,0)</f>
        <v>4</v>
      </c>
      <c r="H180">
        <f>VLOOKUP(Table1[[#This Row],[Called Node]],Nodes!A:D,4,0)</f>
        <v>17</v>
      </c>
      <c r="I180">
        <f>VLOOKUP(Table1[[#This Row],[Called Node]],Nodes!A:E,5,0)</f>
        <v>1</v>
      </c>
    </row>
    <row r="181" spans="1:9" x14ac:dyDescent="0.3">
      <c r="A181" t="s">
        <v>79</v>
      </c>
      <c r="B181" t="str">
        <f>VLOOKUP(Table1[[#This Row],[Calling Node]],Nodes!A:B,2,0)</f>
        <v>upload_non_COUNTER_reports</v>
      </c>
      <c r="C181" t="s">
        <v>121</v>
      </c>
      <c r="D181" t="str">
        <f>VLOOKUP(Table1[[#This Row],[Called Node]],Nodes!A:B,2,0)</f>
        <v>create_AUCT_SelectField_options</v>
      </c>
      <c r="E181" s="3" t="str">
        <f>Table1[[#This Row],[Calling Node]]&amp;" -&gt; "&amp;Table1[[#This Row],[Called Node]]</f>
        <v>upload_non_COUNTER_reports -&gt; create_AUCT_SelectField_options</v>
      </c>
      <c r="F181">
        <f>VLOOKUP(Table1[[#This Row],[Calling Node]],Nodes!A:D,4,0)</f>
        <v>17</v>
      </c>
      <c r="G181">
        <f>VLOOKUP(Table1[[#This Row],[Calling Node]],Nodes!A:E,5,0)</f>
        <v>4</v>
      </c>
      <c r="H181">
        <f>VLOOKUP(Table1[[#This Row],[Called Node]],Nodes!A:D,4,0)</f>
        <v>22</v>
      </c>
      <c r="I181">
        <f>VLOOKUP(Table1[[#This Row],[Called Node]],Nodes!A:E,5,0)</f>
        <v>15</v>
      </c>
    </row>
    <row r="182" spans="1:9" x14ac:dyDescent="0.3">
      <c r="A182" t="s">
        <v>79</v>
      </c>
      <c r="B182" t="str">
        <f>VLOOKUP(Table1[[#This Row],[Calling Node]],Nodes!A:B,2,0)</f>
        <v>upload_non_COUNTER_reports</v>
      </c>
      <c r="C182" t="s">
        <v>123</v>
      </c>
      <c r="D182" t="str">
        <f>VLOOKUP(Table1[[#This Row],[Called Node]],Nodes!A:B,2,0)</f>
        <v>query_database</v>
      </c>
      <c r="E182" s="3" t="str">
        <f>Table1[[#This Row],[Calling Node]]&amp;" -&gt; "&amp;Table1[[#This Row],[Called Node]]</f>
        <v>upload_non_COUNTER_reports -&gt; query_database</v>
      </c>
      <c r="F182">
        <f>VLOOKUP(Table1[[#This Row],[Calling Node]],Nodes!A:D,4,0)</f>
        <v>17</v>
      </c>
      <c r="G182">
        <f>VLOOKUP(Table1[[#This Row],[Calling Node]],Nodes!A:E,5,0)</f>
        <v>4</v>
      </c>
      <c r="H182">
        <f>VLOOKUP(Table1[[#This Row],[Called Node]],Nodes!A:D,4,0)</f>
        <v>22</v>
      </c>
      <c r="I182">
        <f>VLOOKUP(Table1[[#This Row],[Called Node]],Nodes!A:E,5,0)</f>
        <v>17</v>
      </c>
    </row>
    <row r="183" spans="1:9" x14ac:dyDescent="0.3">
      <c r="A183" t="s">
        <v>79</v>
      </c>
      <c r="B183" t="str">
        <f>VLOOKUP(Table1[[#This Row],[Calling Node]],Nodes!A:B,2,0)</f>
        <v>upload_non_COUNTER_reports</v>
      </c>
      <c r="C183" t="s">
        <v>142</v>
      </c>
      <c r="D183" t="str">
        <f>VLOOKUP(Table1[[#This Row],[Called Node]],Nodes!A:B,2,0)</f>
        <v>Flask_error_statement</v>
      </c>
      <c r="E183" s="3" t="str">
        <f>Table1[[#This Row],[Calling Node]]&amp;" -&gt; "&amp;Table1[[#This Row],[Called Node]]</f>
        <v>upload_non_COUNTER_reports -&gt; Flask_error_statement</v>
      </c>
      <c r="F183">
        <f>VLOOKUP(Table1[[#This Row],[Calling Node]],Nodes!A:D,4,0)</f>
        <v>17</v>
      </c>
      <c r="G183">
        <f>VLOOKUP(Table1[[#This Row],[Calling Node]],Nodes!A:E,5,0)</f>
        <v>4</v>
      </c>
      <c r="H183">
        <f>VLOOKUP(Table1[[#This Row],[Called Node]],Nodes!A:D,4,0)</f>
        <v>23</v>
      </c>
      <c r="I183">
        <f>VLOOKUP(Table1[[#This Row],[Called Node]],Nodes!A:E,5,0)</f>
        <v>8</v>
      </c>
    </row>
    <row r="184" spans="1:9" x14ac:dyDescent="0.3">
      <c r="A184" t="s">
        <v>79</v>
      </c>
      <c r="B184" t="str">
        <f>VLOOKUP(Table1[[#This Row],[Calling Node]],Nodes!A:B,2,0)</f>
        <v>upload_non_COUNTER_reports</v>
      </c>
      <c r="C184" t="s">
        <v>149</v>
      </c>
      <c r="D184" t="str">
        <f>VLOOKUP(Table1[[#This Row],[Called Node]],Nodes!A:B,2,0)</f>
        <v>upload_nonstandard_usage_file_success_regex</v>
      </c>
      <c r="E184" s="3" t="str">
        <f>Table1[[#This Row],[Calling Node]]&amp;" -&gt; "&amp;Table1[[#This Row],[Called Node]]</f>
        <v>upload_non_COUNTER_reports -&gt; upload_nonstandard_usage_file_success_regex</v>
      </c>
      <c r="F184">
        <f>VLOOKUP(Table1[[#This Row],[Calling Node]],Nodes!A:D,4,0)</f>
        <v>17</v>
      </c>
      <c r="G184">
        <f>VLOOKUP(Table1[[#This Row],[Calling Node]],Nodes!A:E,5,0)</f>
        <v>4</v>
      </c>
      <c r="H184">
        <f>VLOOKUP(Table1[[#This Row],[Called Node]],Nodes!A:D,4,0)</f>
        <v>23</v>
      </c>
      <c r="I184">
        <f>VLOOKUP(Table1[[#This Row],[Called Node]],Nodes!A:E,5,0)</f>
        <v>15</v>
      </c>
    </row>
    <row r="185" spans="1:9" x14ac:dyDescent="0.3">
      <c r="A185" t="s">
        <v>79</v>
      </c>
      <c r="B185" t="str">
        <f>VLOOKUP(Table1[[#This Row],[Calling Node]],Nodes!A:B,2,0)</f>
        <v>upload_non_COUNTER_reports</v>
      </c>
      <c r="C185" t="s">
        <v>152</v>
      </c>
      <c r="D185" t="str">
        <f>VLOOKUP(Table1[[#This Row],[Called Node]],Nodes!A:B,2,0)</f>
        <v>database_query_fail_statement</v>
      </c>
      <c r="E185" s="3" t="str">
        <f>Table1[[#This Row],[Calling Node]]&amp;" -&gt; "&amp;Table1[[#This Row],[Called Node]]</f>
        <v>upload_non_COUNTER_reports -&gt; database_query_fail_statement</v>
      </c>
      <c r="F185">
        <f>VLOOKUP(Table1[[#This Row],[Calling Node]],Nodes!A:D,4,0)</f>
        <v>17</v>
      </c>
      <c r="G185">
        <f>VLOOKUP(Table1[[#This Row],[Calling Node]],Nodes!A:E,5,0)</f>
        <v>4</v>
      </c>
      <c r="H185">
        <f>VLOOKUP(Table1[[#This Row],[Called Node]],Nodes!A:D,4,0)</f>
        <v>23</v>
      </c>
      <c r="I185">
        <f>VLOOKUP(Table1[[#This Row],[Called Node]],Nodes!A:E,5,0)</f>
        <v>18</v>
      </c>
    </row>
    <row r="186" spans="1:9" x14ac:dyDescent="0.3">
      <c r="A186" t="s">
        <v>81</v>
      </c>
      <c r="B186" t="str">
        <f>VLOOKUP(Table1[[#This Row],[Calling Node]],Nodes!A:B,2,0)</f>
        <v>collect_FY_and_vendor_data</v>
      </c>
      <c r="C186" t="s">
        <v>462</v>
      </c>
      <c r="D186" s="2" t="str">
        <f>VLOOKUP(Table1[[#This Row],[Called Node]],Nodes!A:B,2,0)</f>
        <v>state_data_types</v>
      </c>
      <c r="E186" s="3" t="str">
        <f>Table1[[#This Row],[Calling Node]]&amp;" -&gt; "&amp;Table1[[#This Row],[Called Node]]</f>
        <v>collect_FY_and_vendor_data -&gt; state_data_types_in_FiscalYears</v>
      </c>
      <c r="F186">
        <f>VLOOKUP(Table1[[#This Row],[Calling Node]],Nodes!A:D,4,0)</f>
        <v>18</v>
      </c>
      <c r="G186">
        <f>VLOOKUP(Table1[[#This Row],[Calling Node]],Nodes!A:E,5,0)</f>
        <v>1</v>
      </c>
      <c r="H186">
        <f>VLOOKUP(Table1[[#This Row],[Called Node]],Nodes!A:D,4,0)</f>
        <v>2</v>
      </c>
      <c r="I186">
        <f>VLOOKUP(Table1[[#This Row],[Called Node]],Nodes!A:E,5,0)</f>
        <v>1</v>
      </c>
    </row>
    <row r="187" spans="1:9" x14ac:dyDescent="0.3">
      <c r="A187" t="s">
        <v>81</v>
      </c>
      <c r="B187" t="str">
        <f>VLOOKUP(Table1[[#This Row],[Calling Node]],Nodes!A:B,2,0)</f>
        <v>collect_FY_and_vendor_data</v>
      </c>
      <c r="C187" t="s">
        <v>19</v>
      </c>
      <c r="D187" s="2" t="str">
        <f>VLOOKUP(Table1[[#This Row],[Called Node]],Nodes!A:B,2,0)</f>
        <v>state_data_types</v>
      </c>
      <c r="E187" s="3" t="str">
        <f>Table1[[#This Row],[Calling Node]]&amp;" -&gt; "&amp;Table1[[#This Row],[Called Node]]</f>
        <v>collect_FY_and_vendor_data -&gt; state_data_types_in_annualStatistics</v>
      </c>
      <c r="F187">
        <f>VLOOKUP(Table1[[#This Row],[Calling Node]],Nodes!A:D,4,0)</f>
        <v>18</v>
      </c>
      <c r="G187">
        <f>VLOOKUP(Table1[[#This Row],[Calling Node]],Nodes!A:E,5,0)</f>
        <v>1</v>
      </c>
      <c r="H187">
        <f>VLOOKUP(Table1[[#This Row],[Called Node]],Nodes!A:D,4,0)</f>
        <v>3</v>
      </c>
      <c r="I187">
        <f>VLOOKUP(Table1[[#This Row],[Called Node]],Nodes!A:E,5,0)</f>
        <v>1</v>
      </c>
    </row>
    <row r="188" spans="1:9" x14ac:dyDescent="0.3">
      <c r="A188" t="s">
        <v>81</v>
      </c>
      <c r="B188" t="str">
        <f>VLOOKUP(Table1[[#This Row],[Calling Node]],Nodes!A:B,2,0)</f>
        <v>collect_FY_and_vendor_data</v>
      </c>
      <c r="C188" t="s">
        <v>23</v>
      </c>
      <c r="D188" s="2" t="str">
        <f>VLOOKUP(Table1[[#This Row],[Called Node]],Nodes!A:B,2,0)</f>
        <v>state_data_types</v>
      </c>
      <c r="E188" s="3" t="str">
        <f>Table1[[#This Row],[Calling Node]]&amp;" -&gt; "&amp;Table1[[#This Row],[Called Node]]</f>
        <v>collect_FY_and_vendor_data -&gt; state_data_types_in_vendors</v>
      </c>
      <c r="F188">
        <f>VLOOKUP(Table1[[#This Row],[Calling Node]],Nodes!A:D,4,0)</f>
        <v>18</v>
      </c>
      <c r="G188">
        <f>VLOOKUP(Table1[[#This Row],[Calling Node]],Nodes!A:E,5,0)</f>
        <v>1</v>
      </c>
      <c r="H188">
        <f>VLOOKUP(Table1[[#This Row],[Called Node]],Nodes!A:D,4,0)</f>
        <v>4</v>
      </c>
      <c r="I188">
        <f>VLOOKUP(Table1[[#This Row],[Called Node]],Nodes!A:E,5,0)</f>
        <v>1</v>
      </c>
    </row>
    <row r="189" spans="1:9" x14ac:dyDescent="0.3">
      <c r="A189" t="s">
        <v>81</v>
      </c>
      <c r="B189" t="str">
        <f>VLOOKUP(Table1[[#This Row],[Calling Node]],Nodes!A:B,2,0)</f>
        <v>collect_FY_and_vendor_data</v>
      </c>
      <c r="C189" t="s">
        <v>29</v>
      </c>
      <c r="D189" s="2" t="str">
        <f>VLOOKUP(Table1[[#This Row],[Called Node]],Nodes!A:B,2,0)</f>
        <v>state_data_types</v>
      </c>
      <c r="E189" s="3" t="str">
        <f>Table1[[#This Row],[Calling Node]]&amp;" -&gt; "&amp;Table1[[#This Row],[Called Node]]</f>
        <v>collect_FY_and_vendor_data -&gt; state_data_types_in_vendorNotes</v>
      </c>
      <c r="F189">
        <f>VLOOKUP(Table1[[#This Row],[Calling Node]],Nodes!A:D,4,0)</f>
        <v>18</v>
      </c>
      <c r="G189">
        <f>VLOOKUP(Table1[[#This Row],[Calling Node]],Nodes!A:E,5,0)</f>
        <v>1</v>
      </c>
      <c r="H189">
        <f>VLOOKUP(Table1[[#This Row],[Called Node]],Nodes!A:D,4,0)</f>
        <v>5</v>
      </c>
      <c r="I189">
        <f>VLOOKUP(Table1[[#This Row],[Called Node]],Nodes!A:E,5,0)</f>
        <v>1</v>
      </c>
    </row>
    <row r="190" spans="1:9" x14ac:dyDescent="0.3">
      <c r="A190" t="s">
        <v>81</v>
      </c>
      <c r="B190" t="str">
        <f>VLOOKUP(Table1[[#This Row],[Calling Node]],Nodes!A:B,2,0)</f>
        <v>collect_FY_and_vendor_data</v>
      </c>
      <c r="C190" t="s">
        <v>82</v>
      </c>
      <c r="D190" t="str">
        <f>VLOOKUP(Table1[[#This Row],[Called Node]],Nodes!A:B,2,0)</f>
        <v>collect_sources_data</v>
      </c>
      <c r="E190" s="3" t="str">
        <f>Table1[[#This Row],[Calling Node]]&amp;" -&gt; "&amp;Table1[[#This Row],[Called Node]]</f>
        <v>collect_FY_and_vendor_data -&gt; collect_sources_data</v>
      </c>
      <c r="F190">
        <f>VLOOKUP(Table1[[#This Row],[Calling Node]],Nodes!A:D,4,0)</f>
        <v>18</v>
      </c>
      <c r="G190">
        <f>VLOOKUP(Table1[[#This Row],[Calling Node]],Nodes!A:E,5,0)</f>
        <v>1</v>
      </c>
      <c r="H190">
        <f>VLOOKUP(Table1[[#This Row],[Called Node]],Nodes!A:D,4,0)</f>
        <v>18</v>
      </c>
      <c r="I190">
        <f>VLOOKUP(Table1[[#This Row],[Called Node]],Nodes!A:E,5,0)</f>
        <v>2</v>
      </c>
    </row>
    <row r="191" spans="1:9" x14ac:dyDescent="0.3">
      <c r="A191" t="s">
        <v>81</v>
      </c>
      <c r="B191" t="str">
        <f>VLOOKUP(Table1[[#This Row],[Calling Node]],Nodes!A:B,2,0)</f>
        <v>collect_FY_and_vendor_data</v>
      </c>
      <c r="C191" t="s">
        <v>116</v>
      </c>
      <c r="D191" t="str">
        <f>VLOOKUP(Table1[[#This Row],[Called Node]],Nodes!A:B,2,0)</f>
        <v>first_new_PK_value</v>
      </c>
      <c r="E191" s="3" t="str">
        <f>Table1[[#This Row],[Calling Node]]&amp;" -&gt; "&amp;Table1[[#This Row],[Called Node]]</f>
        <v>collect_FY_and_vendor_data -&gt; first_new_PK_value</v>
      </c>
      <c r="F191">
        <f>VLOOKUP(Table1[[#This Row],[Calling Node]],Nodes!A:D,4,0)</f>
        <v>18</v>
      </c>
      <c r="G191">
        <f>VLOOKUP(Table1[[#This Row],[Calling Node]],Nodes!A:E,5,0)</f>
        <v>1</v>
      </c>
      <c r="H191">
        <f>VLOOKUP(Table1[[#This Row],[Called Node]],Nodes!A:D,4,0)</f>
        <v>22</v>
      </c>
      <c r="I191">
        <f>VLOOKUP(Table1[[#This Row],[Called Node]],Nodes!A:E,5,0)</f>
        <v>10</v>
      </c>
    </row>
    <row r="192" spans="1:9" x14ac:dyDescent="0.3">
      <c r="A192" t="s">
        <v>81</v>
      </c>
      <c r="B192" t="str">
        <f>VLOOKUP(Table1[[#This Row],[Calling Node]],Nodes!A:B,2,0)</f>
        <v>collect_FY_and_vendor_data</v>
      </c>
      <c r="C192" t="s">
        <v>122</v>
      </c>
      <c r="D192" t="str">
        <f>VLOOKUP(Table1[[#This Row],[Called Node]],Nodes!A:B,2,0)</f>
        <v>load_data_into_database</v>
      </c>
      <c r="E192" s="3" t="str">
        <f>Table1[[#This Row],[Calling Node]]&amp;" -&gt; "&amp;Table1[[#This Row],[Called Node]]</f>
        <v>collect_FY_and_vendor_data -&gt; load_data_into_database</v>
      </c>
      <c r="F192">
        <f>VLOOKUP(Table1[[#This Row],[Calling Node]],Nodes!A:D,4,0)</f>
        <v>18</v>
      </c>
      <c r="G192">
        <f>VLOOKUP(Table1[[#This Row],[Calling Node]],Nodes!A:E,5,0)</f>
        <v>1</v>
      </c>
      <c r="H192">
        <f>VLOOKUP(Table1[[#This Row],[Called Node]],Nodes!A:D,4,0)</f>
        <v>22</v>
      </c>
      <c r="I192">
        <f>VLOOKUP(Table1[[#This Row],[Called Node]],Nodes!A:E,5,0)</f>
        <v>16</v>
      </c>
    </row>
    <row r="193" spans="1:9" x14ac:dyDescent="0.3">
      <c r="A193" t="s">
        <v>81</v>
      </c>
      <c r="B193" t="str">
        <f>VLOOKUP(Table1[[#This Row],[Calling Node]],Nodes!A:B,2,0)</f>
        <v>collect_FY_and_vendor_data</v>
      </c>
      <c r="C193" t="s">
        <v>142</v>
      </c>
      <c r="D193" t="str">
        <f>VLOOKUP(Table1[[#This Row],[Called Node]],Nodes!A:B,2,0)</f>
        <v>Flask_error_statement</v>
      </c>
      <c r="E193" s="3" t="str">
        <f>Table1[[#This Row],[Calling Node]]&amp;" -&gt; "&amp;Table1[[#This Row],[Called Node]]</f>
        <v>collect_FY_and_vendor_data -&gt; Flask_error_statement</v>
      </c>
      <c r="F193">
        <f>VLOOKUP(Table1[[#This Row],[Calling Node]],Nodes!A:D,4,0)</f>
        <v>18</v>
      </c>
      <c r="G193">
        <f>VLOOKUP(Table1[[#This Row],[Calling Node]],Nodes!A:E,5,0)</f>
        <v>1</v>
      </c>
      <c r="H193">
        <f>VLOOKUP(Table1[[#This Row],[Called Node]],Nodes!A:D,4,0)</f>
        <v>23</v>
      </c>
      <c r="I193">
        <f>VLOOKUP(Table1[[#This Row],[Called Node]],Nodes!A:E,5,0)</f>
        <v>8</v>
      </c>
    </row>
    <row r="194" spans="1:9" x14ac:dyDescent="0.3">
      <c r="A194" t="s">
        <v>81</v>
      </c>
      <c r="B194" t="str">
        <f>VLOOKUP(Table1[[#This Row],[Calling Node]],Nodes!A:B,2,0)</f>
        <v>collect_FY_and_vendor_data</v>
      </c>
      <c r="C194" t="s">
        <v>156</v>
      </c>
      <c r="D194" t="str">
        <f>VLOOKUP(Table1[[#This Row],[Called Node]],Nodes!A:B,2,0)</f>
        <v>load_data_into_database_success_regex</v>
      </c>
      <c r="E194" s="3" t="str">
        <f>Table1[[#This Row],[Calling Node]]&amp;" -&gt; "&amp;Table1[[#This Row],[Called Node]]</f>
        <v>collect_FY_and_vendor_data -&gt; load_data_into_database_success_regex</v>
      </c>
      <c r="F194">
        <f>VLOOKUP(Table1[[#This Row],[Calling Node]],Nodes!A:D,4,0)</f>
        <v>18</v>
      </c>
      <c r="G194">
        <f>VLOOKUP(Table1[[#This Row],[Calling Node]],Nodes!A:E,5,0)</f>
        <v>1</v>
      </c>
      <c r="H194">
        <f>VLOOKUP(Table1[[#This Row],[Called Node]],Nodes!A:D,4,0)</f>
        <v>23</v>
      </c>
      <c r="I194">
        <f>VLOOKUP(Table1[[#This Row],[Called Node]],Nodes!A:E,5,0)</f>
        <v>22</v>
      </c>
    </row>
    <row r="195" spans="1:9" x14ac:dyDescent="0.3">
      <c r="A195" t="s">
        <v>82</v>
      </c>
      <c r="B195" t="str">
        <f>VLOOKUP(Table1[[#This Row],[Calling Node]],Nodes!A:B,2,0)</f>
        <v>collect_sources_data</v>
      </c>
      <c r="C195" t="s">
        <v>31</v>
      </c>
      <c r="D195" s="2" t="str">
        <f>VLOOKUP(Table1[[#This Row],[Called Node]],Nodes!A:B,2,0)</f>
        <v>state_data_types</v>
      </c>
      <c r="E195" s="3" t="str">
        <f>Table1[[#This Row],[Calling Node]]&amp;" -&gt; "&amp;Table1[[#This Row],[Called Node]]</f>
        <v>collect_sources_data -&gt; state_data_types_in_statisticsSources</v>
      </c>
      <c r="F195">
        <f>VLOOKUP(Table1[[#This Row],[Calling Node]],Nodes!A:D,4,0)</f>
        <v>18</v>
      </c>
      <c r="G195">
        <f>VLOOKUP(Table1[[#This Row],[Calling Node]],Nodes!A:E,5,0)</f>
        <v>2</v>
      </c>
      <c r="H195">
        <f>VLOOKUP(Table1[[#This Row],[Called Node]],Nodes!A:D,4,0)</f>
        <v>6</v>
      </c>
      <c r="I195">
        <f>VLOOKUP(Table1[[#This Row],[Called Node]],Nodes!A:E,5,0)</f>
        <v>1</v>
      </c>
    </row>
    <row r="196" spans="1:9" x14ac:dyDescent="0.3">
      <c r="A196" t="s">
        <v>82</v>
      </c>
      <c r="B196" t="str">
        <f>VLOOKUP(Table1[[#This Row],[Calling Node]],Nodes!A:B,2,0)</f>
        <v>collect_sources_data</v>
      </c>
      <c r="C196" t="s">
        <v>38</v>
      </c>
      <c r="D196" s="2" t="str">
        <f>VLOOKUP(Table1[[#This Row],[Called Node]],Nodes!A:B,2,0)</f>
        <v>state_data_types</v>
      </c>
      <c r="E196" s="3" t="str">
        <f>Table1[[#This Row],[Calling Node]]&amp;" -&gt; "&amp;Table1[[#This Row],[Called Node]]</f>
        <v>collect_sources_data -&gt; state_data_types_in_statisticsSourceNotes</v>
      </c>
      <c r="F196">
        <f>VLOOKUP(Table1[[#This Row],[Calling Node]],Nodes!A:D,4,0)</f>
        <v>18</v>
      </c>
      <c r="G196">
        <f>VLOOKUP(Table1[[#This Row],[Calling Node]],Nodes!A:E,5,0)</f>
        <v>2</v>
      </c>
      <c r="H196">
        <f>VLOOKUP(Table1[[#This Row],[Called Node]],Nodes!A:D,4,0)</f>
        <v>7</v>
      </c>
      <c r="I196">
        <f>VLOOKUP(Table1[[#This Row],[Called Node]],Nodes!A:E,5,0)</f>
        <v>1</v>
      </c>
    </row>
    <row r="197" spans="1:9" x14ac:dyDescent="0.3">
      <c r="A197" t="s">
        <v>82</v>
      </c>
      <c r="B197" t="str">
        <f>VLOOKUP(Table1[[#This Row],[Calling Node]],Nodes!A:B,2,0)</f>
        <v>collect_sources_data</v>
      </c>
      <c r="C197" t="s">
        <v>40</v>
      </c>
      <c r="D197" s="2" t="str">
        <f>VLOOKUP(Table1[[#This Row],[Called Node]],Nodes!A:B,2,0)</f>
        <v>state_data_types</v>
      </c>
      <c r="E197" s="3" t="str">
        <f>Table1[[#This Row],[Calling Node]]&amp;" -&gt; "&amp;Table1[[#This Row],[Called Node]]</f>
        <v>collect_sources_data -&gt; state_data_types_in_resourceSources</v>
      </c>
      <c r="F197">
        <f>VLOOKUP(Table1[[#This Row],[Calling Node]],Nodes!A:D,4,0)</f>
        <v>18</v>
      </c>
      <c r="G197">
        <f>VLOOKUP(Table1[[#This Row],[Calling Node]],Nodes!A:E,5,0)</f>
        <v>2</v>
      </c>
      <c r="H197">
        <f>VLOOKUP(Table1[[#This Row],[Called Node]],Nodes!A:D,4,0)</f>
        <v>8</v>
      </c>
      <c r="I197">
        <f>VLOOKUP(Table1[[#This Row],[Called Node]],Nodes!A:E,5,0)</f>
        <v>1</v>
      </c>
    </row>
    <row r="198" spans="1:9" x14ac:dyDescent="0.3">
      <c r="A198" t="s">
        <v>82</v>
      </c>
      <c r="B198" t="str">
        <f>VLOOKUP(Table1[[#This Row],[Calling Node]],Nodes!A:B,2,0)</f>
        <v>collect_sources_data</v>
      </c>
      <c r="C198" t="s">
        <v>46</v>
      </c>
      <c r="D198" s="2" t="str">
        <f>VLOOKUP(Table1[[#This Row],[Called Node]],Nodes!A:B,2,0)</f>
        <v>state_data_types</v>
      </c>
      <c r="E198" s="3" t="str">
        <f>Table1[[#This Row],[Calling Node]]&amp;" -&gt; "&amp;Table1[[#This Row],[Called Node]]</f>
        <v>collect_sources_data -&gt; state_data_types_in_resourceSourceNotes</v>
      </c>
      <c r="F198">
        <f>VLOOKUP(Table1[[#This Row],[Calling Node]],Nodes!A:D,4,0)</f>
        <v>18</v>
      </c>
      <c r="G198">
        <f>VLOOKUP(Table1[[#This Row],[Calling Node]],Nodes!A:E,5,0)</f>
        <v>2</v>
      </c>
      <c r="H198">
        <f>VLOOKUP(Table1[[#This Row],[Called Node]],Nodes!A:D,4,0)</f>
        <v>9</v>
      </c>
      <c r="I198">
        <f>VLOOKUP(Table1[[#This Row],[Called Node]],Nodes!A:E,5,0)</f>
        <v>1</v>
      </c>
    </row>
    <row r="199" spans="1:9" x14ac:dyDescent="0.3">
      <c r="A199" t="s">
        <v>82</v>
      </c>
      <c r="B199" t="str">
        <f>VLOOKUP(Table1[[#This Row],[Calling Node]],Nodes!A:B,2,0)</f>
        <v>collect_sources_data</v>
      </c>
      <c r="C199" t="s">
        <v>83</v>
      </c>
      <c r="D199" t="str">
        <f>VLOOKUP(Table1[[#This Row],[Called Node]],Nodes!A:B,2,0)</f>
        <v>collect_AUCT_and_historical_COUNTER_data</v>
      </c>
      <c r="E199" s="3" t="str">
        <f>Table1[[#This Row],[Calling Node]]&amp;" -&gt; "&amp;Table1[[#This Row],[Called Node]]</f>
        <v>collect_sources_data -&gt; collect_AUCT_and_historical_COUNTER_data</v>
      </c>
      <c r="F199">
        <f>VLOOKUP(Table1[[#This Row],[Calling Node]],Nodes!A:D,4,0)</f>
        <v>18</v>
      </c>
      <c r="G199">
        <f>VLOOKUP(Table1[[#This Row],[Calling Node]],Nodes!A:E,5,0)</f>
        <v>2</v>
      </c>
      <c r="H199">
        <f>VLOOKUP(Table1[[#This Row],[Called Node]],Nodes!A:D,4,0)</f>
        <v>18</v>
      </c>
      <c r="I199">
        <f>VLOOKUP(Table1[[#This Row],[Called Node]],Nodes!A:E,5,0)</f>
        <v>3</v>
      </c>
    </row>
    <row r="200" spans="1:9" x14ac:dyDescent="0.3">
      <c r="A200" t="s">
        <v>82</v>
      </c>
      <c r="B200" t="str">
        <f>VLOOKUP(Table1[[#This Row],[Calling Node]],Nodes!A:B,2,0)</f>
        <v>collect_sources_data</v>
      </c>
      <c r="C200" t="s">
        <v>116</v>
      </c>
      <c r="D200" t="str">
        <f>VLOOKUP(Table1[[#This Row],[Called Node]],Nodes!A:B,2,0)</f>
        <v>first_new_PK_value</v>
      </c>
      <c r="E200" s="3" t="str">
        <f>Table1[[#This Row],[Calling Node]]&amp;" -&gt; "&amp;Table1[[#This Row],[Called Node]]</f>
        <v>collect_sources_data -&gt; first_new_PK_value</v>
      </c>
      <c r="F200">
        <f>VLOOKUP(Table1[[#This Row],[Calling Node]],Nodes!A:D,4,0)</f>
        <v>18</v>
      </c>
      <c r="G200">
        <f>VLOOKUP(Table1[[#This Row],[Calling Node]],Nodes!A:E,5,0)</f>
        <v>2</v>
      </c>
      <c r="H200">
        <f>VLOOKUP(Table1[[#This Row],[Called Node]],Nodes!A:D,4,0)</f>
        <v>22</v>
      </c>
      <c r="I200">
        <f>VLOOKUP(Table1[[#This Row],[Called Node]],Nodes!A:E,5,0)</f>
        <v>10</v>
      </c>
    </row>
    <row r="201" spans="1:9" x14ac:dyDescent="0.3">
      <c r="A201" t="s">
        <v>82</v>
      </c>
      <c r="B201" t="str">
        <f>VLOOKUP(Table1[[#This Row],[Calling Node]],Nodes!A:B,2,0)</f>
        <v>collect_sources_data</v>
      </c>
      <c r="C201" t="s">
        <v>122</v>
      </c>
      <c r="D201" t="str">
        <f>VLOOKUP(Table1[[#This Row],[Called Node]],Nodes!A:B,2,0)</f>
        <v>load_data_into_database</v>
      </c>
      <c r="E201" s="3" t="str">
        <f>Table1[[#This Row],[Calling Node]]&amp;" -&gt; "&amp;Table1[[#This Row],[Called Node]]</f>
        <v>collect_sources_data -&gt; load_data_into_database</v>
      </c>
      <c r="F201">
        <f>VLOOKUP(Table1[[#This Row],[Calling Node]],Nodes!A:D,4,0)</f>
        <v>18</v>
      </c>
      <c r="G201">
        <f>VLOOKUP(Table1[[#This Row],[Calling Node]],Nodes!A:E,5,0)</f>
        <v>2</v>
      </c>
      <c r="H201">
        <f>VLOOKUP(Table1[[#This Row],[Called Node]],Nodes!A:D,4,0)</f>
        <v>22</v>
      </c>
      <c r="I201">
        <f>VLOOKUP(Table1[[#This Row],[Called Node]],Nodes!A:E,5,0)</f>
        <v>16</v>
      </c>
    </row>
    <row r="202" spans="1:9" x14ac:dyDescent="0.3">
      <c r="A202" t="s">
        <v>82</v>
      </c>
      <c r="B202" t="str">
        <f>VLOOKUP(Table1[[#This Row],[Calling Node]],Nodes!A:B,2,0)</f>
        <v>collect_sources_data</v>
      </c>
      <c r="C202" t="s">
        <v>142</v>
      </c>
      <c r="D202" t="str">
        <f>VLOOKUP(Table1[[#This Row],[Called Node]],Nodes!A:B,2,0)</f>
        <v>Flask_error_statement</v>
      </c>
      <c r="E202" s="3" t="str">
        <f>Table1[[#This Row],[Calling Node]]&amp;" -&gt; "&amp;Table1[[#This Row],[Called Node]]</f>
        <v>collect_sources_data -&gt; Flask_error_statement</v>
      </c>
      <c r="F202">
        <f>VLOOKUP(Table1[[#This Row],[Calling Node]],Nodes!A:D,4,0)</f>
        <v>18</v>
      </c>
      <c r="G202">
        <f>VLOOKUP(Table1[[#This Row],[Calling Node]],Nodes!A:E,5,0)</f>
        <v>2</v>
      </c>
      <c r="H202">
        <f>VLOOKUP(Table1[[#This Row],[Called Node]],Nodes!A:D,4,0)</f>
        <v>23</v>
      </c>
      <c r="I202">
        <f>VLOOKUP(Table1[[#This Row],[Called Node]],Nodes!A:E,5,0)</f>
        <v>8</v>
      </c>
    </row>
    <row r="203" spans="1:9" x14ac:dyDescent="0.3">
      <c r="A203" t="s">
        <v>82</v>
      </c>
      <c r="B203" t="str">
        <f>VLOOKUP(Table1[[#This Row],[Calling Node]],Nodes!A:B,2,0)</f>
        <v>collect_sources_data</v>
      </c>
      <c r="C203" t="s">
        <v>156</v>
      </c>
      <c r="D203" t="str">
        <f>VLOOKUP(Table1[[#This Row],[Called Node]],Nodes!A:B,2,0)</f>
        <v>load_data_into_database_success_regex</v>
      </c>
      <c r="E203" s="3" t="str">
        <f>Table1[[#This Row],[Calling Node]]&amp;" -&gt; "&amp;Table1[[#This Row],[Called Node]]</f>
        <v>collect_sources_data -&gt; load_data_into_database_success_regex</v>
      </c>
      <c r="F203">
        <f>VLOOKUP(Table1[[#This Row],[Calling Node]],Nodes!A:D,4,0)</f>
        <v>18</v>
      </c>
      <c r="G203">
        <f>VLOOKUP(Table1[[#This Row],[Calling Node]],Nodes!A:E,5,0)</f>
        <v>2</v>
      </c>
      <c r="H203">
        <f>VLOOKUP(Table1[[#This Row],[Called Node]],Nodes!A:D,4,0)</f>
        <v>23</v>
      </c>
      <c r="I203">
        <f>VLOOKUP(Table1[[#This Row],[Called Node]],Nodes!A:E,5,0)</f>
        <v>22</v>
      </c>
    </row>
    <row r="204" spans="1:9" x14ac:dyDescent="0.3">
      <c r="A204" t="s">
        <v>83</v>
      </c>
      <c r="B204" t="str">
        <f>VLOOKUP(Table1[[#This Row],[Calling Node]],Nodes!A:B,2,0)</f>
        <v>collect_AUCT_and_historical_COUNTER_data</v>
      </c>
      <c r="C204" t="s">
        <v>50</v>
      </c>
      <c r="D204" s="2" t="str">
        <f>VLOOKUP(Table1[[#This Row],[Called Node]],Nodes!A:B,2,0)</f>
        <v>state_data_types</v>
      </c>
      <c r="E204" s="3" t="str">
        <f>Table1[[#This Row],[Calling Node]]&amp;" -&gt; "&amp;Table1[[#This Row],[Called Node]]</f>
        <v>collect_AUCT_and_historical_COUNTER_data -&gt; state_data_types_in_annualUsageCollectionTracking</v>
      </c>
      <c r="F204">
        <f>VLOOKUP(Table1[[#This Row],[Calling Node]],Nodes!A:D,4,0)</f>
        <v>18</v>
      </c>
      <c r="G204">
        <f>VLOOKUP(Table1[[#This Row],[Calling Node]],Nodes!A:E,5,0)</f>
        <v>3</v>
      </c>
      <c r="H204">
        <f>VLOOKUP(Table1[[#This Row],[Called Node]],Nodes!A:D,4,0)</f>
        <v>11</v>
      </c>
      <c r="I204">
        <f>VLOOKUP(Table1[[#This Row],[Called Node]],Nodes!A:E,5,0)</f>
        <v>1</v>
      </c>
    </row>
    <row r="205" spans="1:9" x14ac:dyDescent="0.3">
      <c r="A205" t="s">
        <v>83</v>
      </c>
      <c r="B205" t="str">
        <f>VLOOKUP(Table1[[#This Row],[Calling Node]],Nodes!A:B,2,0)</f>
        <v>collect_AUCT_and_historical_COUNTER_data</v>
      </c>
      <c r="C205" t="s">
        <v>65</v>
      </c>
      <c r="D205" s="2" t="str">
        <f>VLOOKUP(Table1[[#This Row],[Called Node]],Nodes!A:B,2,0)</f>
        <v>create_dataframe</v>
      </c>
      <c r="E205" s="3" t="str">
        <f>Table1[[#This Row],[Calling Node]]&amp;" -&gt; "&amp;Table1[[#This Row],[Called Node]]</f>
        <v>collect_AUCT_and_historical_COUNTER_data -&gt; create_dataframe_in_UploadCOUNTERReports</v>
      </c>
      <c r="F205">
        <f>VLOOKUP(Table1[[#This Row],[Calling Node]],Nodes!A:D,4,0)</f>
        <v>18</v>
      </c>
      <c r="G205">
        <f>VLOOKUP(Table1[[#This Row],[Calling Node]],Nodes!A:E,5,0)</f>
        <v>3</v>
      </c>
      <c r="H205">
        <f>VLOOKUP(Table1[[#This Row],[Called Node]],Nodes!A:D,4,0)</f>
        <v>14</v>
      </c>
      <c r="I205">
        <f>VLOOKUP(Table1[[#This Row],[Called Node]],Nodes!A:E,5,0)</f>
        <v>1</v>
      </c>
    </row>
    <row r="206" spans="1:9" x14ac:dyDescent="0.3">
      <c r="A206" t="s">
        <v>83</v>
      </c>
      <c r="B206" t="str">
        <f>VLOOKUP(Table1[[#This Row],[Calling Node]],Nodes!A:B,2,0)</f>
        <v>collect_AUCT_and_historical_COUNTER_data</v>
      </c>
      <c r="C206" t="s">
        <v>81</v>
      </c>
      <c r="D206" t="str">
        <f>VLOOKUP(Table1[[#This Row],[Called Node]],Nodes!A:B,2,0)</f>
        <v>collect_FY_and_vendor_data</v>
      </c>
      <c r="E206" s="3" t="str">
        <f>Table1[[#This Row],[Calling Node]]&amp;" -&gt; "&amp;Table1[[#This Row],[Called Node]]</f>
        <v>collect_AUCT_and_historical_COUNTER_data -&gt; collect_FY_and_vendor_data</v>
      </c>
      <c r="F206">
        <f>VLOOKUP(Table1[[#This Row],[Calling Node]],Nodes!A:D,4,0)</f>
        <v>18</v>
      </c>
      <c r="G206">
        <f>VLOOKUP(Table1[[#This Row],[Calling Node]],Nodes!A:E,5,0)</f>
        <v>3</v>
      </c>
      <c r="H206">
        <f>VLOOKUP(Table1[[#This Row],[Called Node]],Nodes!A:D,4,0)</f>
        <v>18</v>
      </c>
      <c r="I206">
        <f>VLOOKUP(Table1[[#This Row],[Called Node]],Nodes!A:E,5,0)</f>
        <v>1</v>
      </c>
    </row>
    <row r="207" spans="1:9" x14ac:dyDescent="0.3">
      <c r="A207" t="s">
        <v>83</v>
      </c>
      <c r="B207" t="str">
        <f>VLOOKUP(Table1[[#This Row],[Calling Node]],Nodes!A:B,2,0)</f>
        <v>collect_AUCT_and_historical_COUNTER_data</v>
      </c>
      <c r="C207" t="s">
        <v>84</v>
      </c>
      <c r="D207" t="str">
        <f>VLOOKUP(Table1[[#This Row],[Called Node]],Nodes!A:B,2,0)</f>
        <v>upload_historical_non_COUNTER_usage</v>
      </c>
      <c r="E207" s="3" t="str">
        <f>Table1[[#This Row],[Calling Node]]&amp;" -&gt; "&amp;Table1[[#This Row],[Called Node]]</f>
        <v>collect_AUCT_and_historical_COUNTER_data -&gt; upload_historical_non_COUNTER_usage</v>
      </c>
      <c r="F207">
        <f>VLOOKUP(Table1[[#This Row],[Calling Node]],Nodes!A:D,4,0)</f>
        <v>18</v>
      </c>
      <c r="G207">
        <f>VLOOKUP(Table1[[#This Row],[Calling Node]],Nodes!A:E,5,0)</f>
        <v>3</v>
      </c>
      <c r="H207">
        <f>VLOOKUP(Table1[[#This Row],[Called Node]],Nodes!A:D,4,0)</f>
        <v>18</v>
      </c>
      <c r="I207">
        <f>VLOOKUP(Table1[[#This Row],[Called Node]],Nodes!A:E,5,0)</f>
        <v>4</v>
      </c>
    </row>
    <row r="208" spans="1:9" x14ac:dyDescent="0.3">
      <c r="A208" t="s">
        <v>83</v>
      </c>
      <c r="B208" t="str">
        <f>VLOOKUP(Table1[[#This Row],[Calling Node]],Nodes!A:B,2,0)</f>
        <v>collect_AUCT_and_historical_COUNTER_data</v>
      </c>
      <c r="C208" t="s">
        <v>116</v>
      </c>
      <c r="D208" t="str">
        <f>VLOOKUP(Table1[[#This Row],[Called Node]],Nodes!A:B,2,0)</f>
        <v>first_new_PK_value</v>
      </c>
      <c r="E208" s="3" t="str">
        <f>Table1[[#This Row],[Calling Node]]&amp;" -&gt; "&amp;Table1[[#This Row],[Called Node]]</f>
        <v>collect_AUCT_and_historical_COUNTER_data -&gt; first_new_PK_value</v>
      </c>
      <c r="F208">
        <f>VLOOKUP(Table1[[#This Row],[Calling Node]],Nodes!A:D,4,0)</f>
        <v>18</v>
      </c>
      <c r="G208">
        <f>VLOOKUP(Table1[[#This Row],[Calling Node]],Nodes!A:E,5,0)</f>
        <v>3</v>
      </c>
      <c r="H208">
        <f>VLOOKUP(Table1[[#This Row],[Called Node]],Nodes!A:D,4,0)</f>
        <v>22</v>
      </c>
      <c r="I208">
        <f>VLOOKUP(Table1[[#This Row],[Called Node]],Nodes!A:E,5,0)</f>
        <v>10</v>
      </c>
    </row>
    <row r="209" spans="1:9" x14ac:dyDescent="0.3">
      <c r="A209" t="s">
        <v>83</v>
      </c>
      <c r="B209" t="str">
        <f>VLOOKUP(Table1[[#This Row],[Calling Node]],Nodes!A:B,2,0)</f>
        <v>collect_AUCT_and_historical_COUNTER_data</v>
      </c>
      <c r="C209" t="s">
        <v>122</v>
      </c>
      <c r="D209" t="str">
        <f>VLOOKUP(Table1[[#This Row],[Called Node]],Nodes!A:B,2,0)</f>
        <v>load_data_into_database</v>
      </c>
      <c r="E209" s="3" t="str">
        <f>Table1[[#This Row],[Calling Node]]&amp;" -&gt; "&amp;Table1[[#This Row],[Called Node]]</f>
        <v>collect_AUCT_and_historical_COUNTER_data -&gt; load_data_into_database</v>
      </c>
      <c r="F209">
        <f>VLOOKUP(Table1[[#This Row],[Calling Node]],Nodes!A:D,4,0)</f>
        <v>18</v>
      </c>
      <c r="G209">
        <f>VLOOKUP(Table1[[#This Row],[Calling Node]],Nodes!A:E,5,0)</f>
        <v>3</v>
      </c>
      <c r="H209">
        <f>VLOOKUP(Table1[[#This Row],[Called Node]],Nodes!A:D,4,0)</f>
        <v>22</v>
      </c>
      <c r="I209">
        <f>VLOOKUP(Table1[[#This Row],[Called Node]],Nodes!A:E,5,0)</f>
        <v>16</v>
      </c>
    </row>
    <row r="210" spans="1:9" x14ac:dyDescent="0.3">
      <c r="A210" t="s">
        <v>83</v>
      </c>
      <c r="B210" t="str">
        <f>VLOOKUP(Table1[[#This Row],[Calling Node]],Nodes!A:B,2,0)</f>
        <v>collect_AUCT_and_historical_COUNTER_data</v>
      </c>
      <c r="C210" t="s">
        <v>123</v>
      </c>
      <c r="D210" t="str">
        <f>VLOOKUP(Table1[[#This Row],[Called Node]],Nodes!A:B,2,0)</f>
        <v>query_database</v>
      </c>
      <c r="E210" s="3" t="str">
        <f>Table1[[#This Row],[Calling Node]]&amp;" -&gt; "&amp;Table1[[#This Row],[Called Node]]</f>
        <v>collect_AUCT_and_historical_COUNTER_data -&gt; query_database</v>
      </c>
      <c r="F210">
        <f>VLOOKUP(Table1[[#This Row],[Calling Node]],Nodes!A:D,4,0)</f>
        <v>18</v>
      </c>
      <c r="G210">
        <f>VLOOKUP(Table1[[#This Row],[Calling Node]],Nodes!A:E,5,0)</f>
        <v>3</v>
      </c>
      <c r="H210">
        <f>VLOOKUP(Table1[[#This Row],[Called Node]],Nodes!A:D,4,0)</f>
        <v>22</v>
      </c>
      <c r="I210">
        <f>VLOOKUP(Table1[[#This Row],[Called Node]],Nodes!A:E,5,0)</f>
        <v>17</v>
      </c>
    </row>
    <row r="211" spans="1:9" x14ac:dyDescent="0.3">
      <c r="A211" t="s">
        <v>83</v>
      </c>
      <c r="B211" t="str">
        <f>VLOOKUP(Table1[[#This Row],[Calling Node]],Nodes!A:B,2,0)</f>
        <v>collect_AUCT_and_historical_COUNTER_data</v>
      </c>
      <c r="C211" t="s">
        <v>124</v>
      </c>
      <c r="D211" t="str">
        <f>VLOOKUP(Table1[[#This Row],[Called Node]],Nodes!A:B,2,0)</f>
        <v>check_if_data_already_in_COUNTERData</v>
      </c>
      <c r="E211" s="3" t="str">
        <f>Table1[[#This Row],[Calling Node]]&amp;" -&gt; "&amp;Table1[[#This Row],[Called Node]]</f>
        <v>collect_AUCT_and_historical_COUNTER_data -&gt; check_if_data_already_in_COUNTERData</v>
      </c>
      <c r="F211">
        <f>VLOOKUP(Table1[[#This Row],[Calling Node]],Nodes!A:D,4,0)</f>
        <v>18</v>
      </c>
      <c r="G211">
        <f>VLOOKUP(Table1[[#This Row],[Calling Node]],Nodes!A:E,5,0)</f>
        <v>3</v>
      </c>
      <c r="H211">
        <f>VLOOKUP(Table1[[#This Row],[Called Node]],Nodes!A:D,4,0)</f>
        <v>22</v>
      </c>
      <c r="I211">
        <f>VLOOKUP(Table1[[#This Row],[Called Node]],Nodes!A:E,5,0)</f>
        <v>18</v>
      </c>
    </row>
    <row r="212" spans="1:9" x14ac:dyDescent="0.3">
      <c r="A212" t="s">
        <v>83</v>
      </c>
      <c r="B212" t="str">
        <f>VLOOKUP(Table1[[#This Row],[Calling Node]],Nodes!A:B,2,0)</f>
        <v>collect_AUCT_and_historical_COUNTER_data</v>
      </c>
      <c r="C212" t="s">
        <v>126</v>
      </c>
      <c r="D212" t="str">
        <f>VLOOKUP(Table1[[#This Row],[Called Node]],Nodes!A:B,2,0)</f>
        <v>update_database</v>
      </c>
      <c r="E212" s="3" t="str">
        <f>Table1[[#This Row],[Calling Node]]&amp;" -&gt; "&amp;Table1[[#This Row],[Called Node]]</f>
        <v>collect_AUCT_and_historical_COUNTER_data -&gt; update_database</v>
      </c>
      <c r="F212">
        <f>VLOOKUP(Table1[[#This Row],[Calling Node]],Nodes!A:D,4,0)</f>
        <v>18</v>
      </c>
      <c r="G212">
        <f>VLOOKUP(Table1[[#This Row],[Calling Node]],Nodes!A:E,5,0)</f>
        <v>3</v>
      </c>
      <c r="H212">
        <f>VLOOKUP(Table1[[#This Row],[Called Node]],Nodes!A:D,4,0)</f>
        <v>22</v>
      </c>
      <c r="I212">
        <f>VLOOKUP(Table1[[#This Row],[Called Node]],Nodes!A:E,5,0)</f>
        <v>20</v>
      </c>
    </row>
    <row r="213" spans="1:9" x14ac:dyDescent="0.3">
      <c r="A213" t="s">
        <v>83</v>
      </c>
      <c r="B213" t="str">
        <f>VLOOKUP(Table1[[#This Row],[Calling Node]],Nodes!A:B,2,0)</f>
        <v>collect_AUCT_and_historical_COUNTER_data</v>
      </c>
      <c r="C213" t="s">
        <v>136</v>
      </c>
      <c r="D213" t="str">
        <f>VLOOKUP(Table1[[#This Row],[Called Node]],Nodes!A:B,2,0)</f>
        <v>format_list_for_stdout</v>
      </c>
      <c r="E213" s="3" t="str">
        <f>Table1[[#This Row],[Calling Node]]&amp;" -&gt; "&amp;Table1[[#This Row],[Called Node]]</f>
        <v>collect_AUCT_and_historical_COUNTER_data -&gt; format_list_for_stdout</v>
      </c>
      <c r="F213">
        <f>VLOOKUP(Table1[[#This Row],[Calling Node]],Nodes!A:D,4,0)</f>
        <v>18</v>
      </c>
      <c r="G213">
        <f>VLOOKUP(Table1[[#This Row],[Calling Node]],Nodes!A:E,5,0)</f>
        <v>3</v>
      </c>
      <c r="H213">
        <f>VLOOKUP(Table1[[#This Row],[Called Node]],Nodes!A:D,4,0)</f>
        <v>23</v>
      </c>
      <c r="I213">
        <f>VLOOKUP(Table1[[#This Row],[Called Node]],Nodes!A:E,5,0)</f>
        <v>2</v>
      </c>
    </row>
    <row r="214" spans="1:9" x14ac:dyDescent="0.3">
      <c r="A214" t="s">
        <v>83</v>
      </c>
      <c r="B214" t="str">
        <f>VLOOKUP(Table1[[#This Row],[Calling Node]],Nodes!A:B,2,0)</f>
        <v>collect_AUCT_and_historical_COUNTER_data</v>
      </c>
      <c r="C214" t="s">
        <v>140</v>
      </c>
      <c r="D214" t="str">
        <f>VLOOKUP(Table1[[#This Row],[Called Node]],Nodes!A:B,2,0)</f>
        <v>unable_to_convert_SUSHI_data_to_dataframe_statement</v>
      </c>
      <c r="E214" s="3" t="str">
        <f>Table1[[#This Row],[Calling Node]]&amp;" -&gt; "&amp;Table1[[#This Row],[Called Node]]</f>
        <v>collect_AUCT_and_historical_COUNTER_data -&gt; unable_to_convert_SUSHI_data_to_dataframe_statement</v>
      </c>
      <c r="F214">
        <f>VLOOKUP(Table1[[#This Row],[Calling Node]],Nodes!A:D,4,0)</f>
        <v>18</v>
      </c>
      <c r="G214">
        <f>VLOOKUP(Table1[[#This Row],[Calling Node]],Nodes!A:E,5,0)</f>
        <v>3</v>
      </c>
      <c r="H214">
        <f>VLOOKUP(Table1[[#This Row],[Called Node]],Nodes!A:D,4,0)</f>
        <v>23</v>
      </c>
      <c r="I214">
        <f>VLOOKUP(Table1[[#This Row],[Called Node]],Nodes!A:E,5,0)</f>
        <v>6</v>
      </c>
    </row>
    <row r="215" spans="1:9" x14ac:dyDescent="0.3">
      <c r="A215" t="s">
        <v>83</v>
      </c>
      <c r="B215" t="str">
        <f>VLOOKUP(Table1[[#This Row],[Calling Node]],Nodes!A:B,2,0)</f>
        <v>collect_AUCT_and_historical_COUNTER_data</v>
      </c>
      <c r="C215" t="s">
        <v>141</v>
      </c>
      <c r="D215" t="str">
        <f>VLOOKUP(Table1[[#This Row],[Called Node]],Nodes!A:B,2,0)</f>
        <v>unable_to_get_updated_primary_key_values_statement</v>
      </c>
      <c r="E215" s="3" t="str">
        <f>Table1[[#This Row],[Calling Node]]&amp;" -&gt; "&amp;Table1[[#This Row],[Called Node]]</f>
        <v>collect_AUCT_and_historical_COUNTER_data -&gt; unable_to_get_updated_primary_key_values_statement</v>
      </c>
      <c r="F215">
        <f>VLOOKUP(Table1[[#This Row],[Calling Node]],Nodes!A:D,4,0)</f>
        <v>18</v>
      </c>
      <c r="G215">
        <f>VLOOKUP(Table1[[#This Row],[Calling Node]],Nodes!A:E,5,0)</f>
        <v>3</v>
      </c>
      <c r="H215">
        <f>VLOOKUP(Table1[[#This Row],[Called Node]],Nodes!A:D,4,0)</f>
        <v>23</v>
      </c>
      <c r="I215">
        <f>VLOOKUP(Table1[[#This Row],[Called Node]],Nodes!A:E,5,0)</f>
        <v>7</v>
      </c>
    </row>
    <row r="216" spans="1:9" x14ac:dyDescent="0.3">
      <c r="A216" t="s">
        <v>83</v>
      </c>
      <c r="B216" t="str">
        <f>VLOOKUP(Table1[[#This Row],[Calling Node]],Nodes!A:B,2,0)</f>
        <v>collect_AUCT_and_historical_COUNTER_data</v>
      </c>
      <c r="C216" t="s">
        <v>142</v>
      </c>
      <c r="D216" t="str">
        <f>VLOOKUP(Table1[[#This Row],[Called Node]],Nodes!A:B,2,0)</f>
        <v>Flask_error_statement</v>
      </c>
      <c r="E216" s="3" t="str">
        <f>Table1[[#This Row],[Calling Node]]&amp;" -&gt; "&amp;Table1[[#This Row],[Called Node]]</f>
        <v>collect_AUCT_and_historical_COUNTER_data -&gt; Flask_error_statement</v>
      </c>
      <c r="F216">
        <f>VLOOKUP(Table1[[#This Row],[Calling Node]],Nodes!A:D,4,0)</f>
        <v>18</v>
      </c>
      <c r="G216">
        <f>VLOOKUP(Table1[[#This Row],[Calling Node]],Nodes!A:E,5,0)</f>
        <v>3</v>
      </c>
      <c r="H216">
        <f>VLOOKUP(Table1[[#This Row],[Called Node]],Nodes!A:D,4,0)</f>
        <v>23</v>
      </c>
      <c r="I216">
        <f>VLOOKUP(Table1[[#This Row],[Called Node]],Nodes!A:E,5,0)</f>
        <v>8</v>
      </c>
    </row>
    <row r="217" spans="1:9" x14ac:dyDescent="0.3">
      <c r="A217" t="s">
        <v>83</v>
      </c>
      <c r="B217" t="str">
        <f>VLOOKUP(Table1[[#This Row],[Calling Node]],Nodes!A:B,2,0)</f>
        <v>collect_AUCT_and_historical_COUNTER_data</v>
      </c>
      <c r="C217" t="s">
        <v>151</v>
      </c>
      <c r="D217" t="str">
        <f>VLOOKUP(Table1[[#This Row],[Called Node]],Nodes!A:B,2,0)</f>
        <v>return_dataframe_from_query_statement</v>
      </c>
      <c r="E217" s="3" t="str">
        <f>Table1[[#This Row],[Calling Node]]&amp;" -&gt; "&amp;Table1[[#This Row],[Called Node]]</f>
        <v>collect_AUCT_and_historical_COUNTER_data -&gt; return_dataframe_from_query_statement</v>
      </c>
      <c r="F217">
        <f>VLOOKUP(Table1[[#This Row],[Calling Node]],Nodes!A:D,4,0)</f>
        <v>18</v>
      </c>
      <c r="G217">
        <f>VLOOKUP(Table1[[#This Row],[Calling Node]],Nodes!A:E,5,0)</f>
        <v>3</v>
      </c>
      <c r="H217">
        <f>VLOOKUP(Table1[[#This Row],[Called Node]],Nodes!A:D,4,0)</f>
        <v>23</v>
      </c>
      <c r="I217">
        <f>VLOOKUP(Table1[[#This Row],[Called Node]],Nodes!A:E,5,0)</f>
        <v>17</v>
      </c>
    </row>
    <row r="218" spans="1:9" x14ac:dyDescent="0.3">
      <c r="A218" t="s">
        <v>83</v>
      </c>
      <c r="B218" t="str">
        <f>VLOOKUP(Table1[[#This Row],[Calling Node]],Nodes!A:B,2,0)</f>
        <v>collect_AUCT_and_historical_COUNTER_data</v>
      </c>
      <c r="C218" t="s">
        <v>152</v>
      </c>
      <c r="D218" t="str">
        <f>VLOOKUP(Table1[[#This Row],[Called Node]],Nodes!A:B,2,0)</f>
        <v>database_query_fail_statement</v>
      </c>
      <c r="E218" s="3" t="str">
        <f>Table1[[#This Row],[Calling Node]]&amp;" -&gt; "&amp;Table1[[#This Row],[Called Node]]</f>
        <v>collect_AUCT_and_historical_COUNTER_data -&gt; database_query_fail_statement</v>
      </c>
      <c r="F218">
        <f>VLOOKUP(Table1[[#This Row],[Calling Node]],Nodes!A:D,4,0)</f>
        <v>18</v>
      </c>
      <c r="G218">
        <f>VLOOKUP(Table1[[#This Row],[Calling Node]],Nodes!A:E,5,0)</f>
        <v>3</v>
      </c>
      <c r="H218">
        <f>VLOOKUP(Table1[[#This Row],[Called Node]],Nodes!A:D,4,0)</f>
        <v>23</v>
      </c>
      <c r="I218">
        <f>VLOOKUP(Table1[[#This Row],[Called Node]],Nodes!A:E,5,0)</f>
        <v>18</v>
      </c>
    </row>
    <row r="219" spans="1:9" x14ac:dyDescent="0.3">
      <c r="A219" t="s">
        <v>83</v>
      </c>
      <c r="B219" t="str">
        <f>VLOOKUP(Table1[[#This Row],[Calling Node]],Nodes!A:B,2,0)</f>
        <v>collect_AUCT_and_historical_COUNTER_data</v>
      </c>
      <c r="C219" t="s">
        <v>156</v>
      </c>
      <c r="D219" t="str">
        <f>VLOOKUP(Table1[[#This Row],[Called Node]],Nodes!A:B,2,0)</f>
        <v>load_data_into_database_success_regex</v>
      </c>
      <c r="E219" s="3" t="str">
        <f>Table1[[#This Row],[Calling Node]]&amp;" -&gt; "&amp;Table1[[#This Row],[Called Node]]</f>
        <v>collect_AUCT_and_historical_COUNTER_data -&gt; load_data_into_database_success_regex</v>
      </c>
      <c r="F219">
        <f>VLOOKUP(Table1[[#This Row],[Calling Node]],Nodes!A:D,4,0)</f>
        <v>18</v>
      </c>
      <c r="G219">
        <f>VLOOKUP(Table1[[#This Row],[Calling Node]],Nodes!A:E,5,0)</f>
        <v>3</v>
      </c>
      <c r="H219">
        <f>VLOOKUP(Table1[[#This Row],[Called Node]],Nodes!A:D,4,0)</f>
        <v>23</v>
      </c>
      <c r="I219">
        <f>VLOOKUP(Table1[[#This Row],[Called Node]],Nodes!A:E,5,0)</f>
        <v>22</v>
      </c>
    </row>
    <row r="220" spans="1:9" x14ac:dyDescent="0.3">
      <c r="A220" t="s">
        <v>83</v>
      </c>
      <c r="B220" t="str">
        <f>VLOOKUP(Table1[[#This Row],[Calling Node]],Nodes!A:B,2,0)</f>
        <v>collect_AUCT_and_historical_COUNTER_data</v>
      </c>
      <c r="C220" t="s">
        <v>157</v>
      </c>
      <c r="D220" t="str">
        <f>VLOOKUP(Table1[[#This Row],[Called Node]],Nodes!A:B,2,0)</f>
        <v>update_database_success_regex</v>
      </c>
      <c r="E220" s="3" t="str">
        <f>Table1[[#This Row],[Calling Node]]&amp;" -&gt; "&amp;Table1[[#This Row],[Called Node]]</f>
        <v>collect_AUCT_and_historical_COUNTER_data -&gt; update_database_success_regex</v>
      </c>
      <c r="F220">
        <f>VLOOKUP(Table1[[#This Row],[Calling Node]],Nodes!A:D,4,0)</f>
        <v>18</v>
      </c>
      <c r="G220">
        <f>VLOOKUP(Table1[[#This Row],[Calling Node]],Nodes!A:E,5,0)</f>
        <v>3</v>
      </c>
      <c r="H220">
        <f>VLOOKUP(Table1[[#This Row],[Called Node]],Nodes!A:D,4,0)</f>
        <v>23</v>
      </c>
      <c r="I220">
        <f>VLOOKUP(Table1[[#This Row],[Called Node]],Nodes!A:E,5,0)</f>
        <v>23</v>
      </c>
    </row>
    <row r="221" spans="1:9" x14ac:dyDescent="0.3">
      <c r="A221" t="s">
        <v>84</v>
      </c>
      <c r="B221" t="str">
        <f>VLOOKUP(Table1[[#This Row],[Calling Node]],Nodes!A:B,2,0)</f>
        <v>upload_historical_non_COUNTER_usage</v>
      </c>
      <c r="C221" t="s">
        <v>52</v>
      </c>
      <c r="D221" t="str">
        <f>VLOOKUP(Table1[[#This Row],[Called Node]],Nodes!A:B,2,0)</f>
        <v>upload_nonstandard_usage_file</v>
      </c>
      <c r="E221" s="3" t="str">
        <f>Table1[[#This Row],[Calling Node]]&amp;" -&gt; "&amp;Table1[[#This Row],[Called Node]]</f>
        <v>upload_historical_non_COUNTER_usage -&gt; upload_nonstandard_usage_file</v>
      </c>
      <c r="F221">
        <f>VLOOKUP(Table1[[#This Row],[Calling Node]],Nodes!A:D,4,0)</f>
        <v>18</v>
      </c>
      <c r="G221">
        <f>VLOOKUP(Table1[[#This Row],[Calling Node]],Nodes!A:E,5,0)</f>
        <v>4</v>
      </c>
      <c r="H221">
        <f>VLOOKUP(Table1[[#This Row],[Called Node]],Nodes!A:D,4,0)</f>
        <v>11</v>
      </c>
      <c r="I221">
        <f>VLOOKUP(Table1[[#This Row],[Called Node]],Nodes!A:E,5,0)</f>
        <v>3</v>
      </c>
    </row>
    <row r="222" spans="1:9" x14ac:dyDescent="0.3">
      <c r="A222" t="s">
        <v>84</v>
      </c>
      <c r="B222" t="str">
        <f>VLOOKUP(Table1[[#This Row],[Calling Node]],Nodes!A:B,2,0)</f>
        <v>upload_historical_non_COUNTER_usage</v>
      </c>
      <c r="C222" t="s">
        <v>85</v>
      </c>
      <c r="D222" t="str">
        <f>VLOOKUP(Table1[[#This Row],[Called Node]],Nodes!A:B,2,0)</f>
        <v>data_load_complete</v>
      </c>
      <c r="E222" s="3" t="str">
        <f>Table1[[#This Row],[Calling Node]]&amp;" -&gt; "&amp;Table1[[#This Row],[Called Node]]</f>
        <v>upload_historical_non_COUNTER_usage -&gt; data_load_complete</v>
      </c>
      <c r="F222">
        <f>VLOOKUP(Table1[[#This Row],[Calling Node]],Nodes!A:D,4,0)</f>
        <v>18</v>
      </c>
      <c r="G222">
        <f>VLOOKUP(Table1[[#This Row],[Calling Node]],Nodes!A:E,5,0)</f>
        <v>4</v>
      </c>
      <c r="H222">
        <f>VLOOKUP(Table1[[#This Row],[Called Node]],Nodes!A:D,4,0)</f>
        <v>18</v>
      </c>
      <c r="I222">
        <f>VLOOKUP(Table1[[#This Row],[Called Node]],Nodes!A:E,5,0)</f>
        <v>5</v>
      </c>
    </row>
    <row r="223" spans="1:9" x14ac:dyDescent="0.3">
      <c r="A223" t="s">
        <v>84</v>
      </c>
      <c r="B223" t="str">
        <f>VLOOKUP(Table1[[#This Row],[Calling Node]],Nodes!A:B,2,0)</f>
        <v>upload_historical_non_COUNTER_usage</v>
      </c>
      <c r="C223" t="s">
        <v>121</v>
      </c>
      <c r="D223" t="str">
        <f>VLOOKUP(Table1[[#This Row],[Called Node]],Nodes!A:B,2,0)</f>
        <v>create_AUCT_SelectField_options</v>
      </c>
      <c r="E223" s="3" t="str">
        <f>Table1[[#This Row],[Calling Node]]&amp;" -&gt; "&amp;Table1[[#This Row],[Called Node]]</f>
        <v>upload_historical_non_COUNTER_usage -&gt; create_AUCT_SelectField_options</v>
      </c>
      <c r="F223">
        <f>VLOOKUP(Table1[[#This Row],[Calling Node]],Nodes!A:D,4,0)</f>
        <v>18</v>
      </c>
      <c r="G223">
        <f>VLOOKUP(Table1[[#This Row],[Calling Node]],Nodes!A:E,5,0)</f>
        <v>4</v>
      </c>
      <c r="H223">
        <f>VLOOKUP(Table1[[#This Row],[Called Node]],Nodes!A:D,4,0)</f>
        <v>22</v>
      </c>
      <c r="I223">
        <f>VLOOKUP(Table1[[#This Row],[Called Node]],Nodes!A:E,5,0)</f>
        <v>15</v>
      </c>
    </row>
    <row r="224" spans="1:9" x14ac:dyDescent="0.3">
      <c r="A224" t="s">
        <v>84</v>
      </c>
      <c r="B224" t="str">
        <f>VLOOKUP(Table1[[#This Row],[Calling Node]],Nodes!A:B,2,0)</f>
        <v>upload_historical_non_COUNTER_usage</v>
      </c>
      <c r="C224" t="s">
        <v>123</v>
      </c>
      <c r="D224" t="str">
        <f>VLOOKUP(Table1[[#This Row],[Called Node]],Nodes!A:B,2,0)</f>
        <v>query_database</v>
      </c>
      <c r="E224" s="3" t="str">
        <f>Table1[[#This Row],[Calling Node]]&amp;" -&gt; "&amp;Table1[[#This Row],[Called Node]]</f>
        <v>upload_historical_non_COUNTER_usage -&gt; query_database</v>
      </c>
      <c r="F224">
        <f>VLOOKUP(Table1[[#This Row],[Calling Node]],Nodes!A:D,4,0)</f>
        <v>18</v>
      </c>
      <c r="G224">
        <f>VLOOKUP(Table1[[#This Row],[Calling Node]],Nodes!A:E,5,0)</f>
        <v>4</v>
      </c>
      <c r="H224">
        <f>VLOOKUP(Table1[[#This Row],[Called Node]],Nodes!A:D,4,0)</f>
        <v>22</v>
      </c>
      <c r="I224">
        <f>VLOOKUP(Table1[[#This Row],[Called Node]],Nodes!A:E,5,0)</f>
        <v>17</v>
      </c>
    </row>
    <row r="225" spans="1:9" x14ac:dyDescent="0.3">
      <c r="A225" t="s">
        <v>84</v>
      </c>
      <c r="B225" t="str">
        <f>VLOOKUP(Table1[[#This Row],[Calling Node]],Nodes!A:B,2,0)</f>
        <v>upload_historical_non_COUNTER_usage</v>
      </c>
      <c r="C225" t="s">
        <v>132</v>
      </c>
      <c r="D225" t="str">
        <f>VLOOKUP(Table1[[#This Row],[Called Node]],Nodes!A:B,2,0)</f>
        <v>non_COUNTER_file_name_regex</v>
      </c>
      <c r="E225" s="3" t="str">
        <f>Table1[[#This Row],[Calling Node]]&amp;" -&gt; "&amp;Table1[[#This Row],[Called Node]]</f>
        <v>upload_historical_non_COUNTER_usage -&gt; non_COUNTER_file_name_regex</v>
      </c>
      <c r="F225">
        <f>VLOOKUP(Table1[[#This Row],[Calling Node]],Nodes!A:D,4,0)</f>
        <v>18</v>
      </c>
      <c r="G225">
        <f>VLOOKUP(Table1[[#This Row],[Calling Node]],Nodes!A:E,5,0)</f>
        <v>4</v>
      </c>
      <c r="H225">
        <f>VLOOKUP(Table1[[#This Row],[Called Node]],Nodes!A:D,4,0)</f>
        <v>22</v>
      </c>
      <c r="I225">
        <f>VLOOKUP(Table1[[#This Row],[Called Node]],Nodes!A:E,5,0)</f>
        <v>26</v>
      </c>
    </row>
    <row r="226" spans="1:9" x14ac:dyDescent="0.3">
      <c r="A226" t="s">
        <v>84</v>
      </c>
      <c r="B226" t="str">
        <f>VLOOKUP(Table1[[#This Row],[Calling Node]],Nodes!A:B,2,0)</f>
        <v>upload_historical_non_COUNTER_usage</v>
      </c>
      <c r="C226" t="s">
        <v>138</v>
      </c>
      <c r="D226" t="str">
        <f>VLOOKUP(Table1[[#This Row],[Called Node]],Nodes!A:B,2,0)</f>
        <v>initialize_relation_class_object_statement</v>
      </c>
      <c r="E226" s="3" t="str">
        <f>Table1[[#This Row],[Calling Node]]&amp;" -&gt; "&amp;Table1[[#This Row],[Called Node]]</f>
        <v>upload_historical_non_COUNTER_usage -&gt; initialize_relation_class_object_statement</v>
      </c>
      <c r="F226">
        <f>VLOOKUP(Table1[[#This Row],[Calling Node]],Nodes!A:D,4,0)</f>
        <v>18</v>
      </c>
      <c r="G226">
        <f>VLOOKUP(Table1[[#This Row],[Calling Node]],Nodes!A:E,5,0)</f>
        <v>4</v>
      </c>
      <c r="H226">
        <f>VLOOKUP(Table1[[#This Row],[Called Node]],Nodes!A:D,4,0)</f>
        <v>23</v>
      </c>
      <c r="I226">
        <f>VLOOKUP(Table1[[#This Row],[Called Node]],Nodes!A:E,5,0)</f>
        <v>4</v>
      </c>
    </row>
    <row r="227" spans="1:9" x14ac:dyDescent="0.3">
      <c r="A227" t="s">
        <v>84</v>
      </c>
      <c r="B227" t="str">
        <f>VLOOKUP(Table1[[#This Row],[Calling Node]],Nodes!A:B,2,0)</f>
        <v>upload_historical_non_COUNTER_usage</v>
      </c>
      <c r="C227" t="s">
        <v>142</v>
      </c>
      <c r="D227" t="str">
        <f>VLOOKUP(Table1[[#This Row],[Called Node]],Nodes!A:B,2,0)</f>
        <v>Flask_error_statement</v>
      </c>
      <c r="E227" s="3" t="str">
        <f>Table1[[#This Row],[Calling Node]]&amp;" -&gt; "&amp;Table1[[#This Row],[Called Node]]</f>
        <v>upload_historical_non_COUNTER_usage -&gt; Flask_error_statement</v>
      </c>
      <c r="F227">
        <f>VLOOKUP(Table1[[#This Row],[Calling Node]],Nodes!A:D,4,0)</f>
        <v>18</v>
      </c>
      <c r="G227">
        <f>VLOOKUP(Table1[[#This Row],[Calling Node]],Nodes!A:E,5,0)</f>
        <v>4</v>
      </c>
      <c r="H227">
        <f>VLOOKUP(Table1[[#This Row],[Called Node]],Nodes!A:D,4,0)</f>
        <v>23</v>
      </c>
      <c r="I227">
        <f>VLOOKUP(Table1[[#This Row],[Called Node]],Nodes!A:E,5,0)</f>
        <v>8</v>
      </c>
    </row>
    <row r="228" spans="1:9" x14ac:dyDescent="0.3">
      <c r="A228" t="s">
        <v>84</v>
      </c>
      <c r="B228" t="str">
        <f>VLOOKUP(Table1[[#This Row],[Calling Node]],Nodes!A:B,2,0)</f>
        <v>upload_historical_non_COUNTER_usage</v>
      </c>
      <c r="C228" t="s">
        <v>149</v>
      </c>
      <c r="D228" t="str">
        <f>VLOOKUP(Table1[[#This Row],[Called Node]],Nodes!A:B,2,0)</f>
        <v>upload_nonstandard_usage_file_success_regex</v>
      </c>
      <c r="E228" s="3" t="str">
        <f>Table1[[#This Row],[Calling Node]]&amp;" -&gt; "&amp;Table1[[#This Row],[Called Node]]</f>
        <v>upload_historical_non_COUNTER_usage -&gt; upload_nonstandard_usage_file_success_regex</v>
      </c>
      <c r="F228">
        <f>VLOOKUP(Table1[[#This Row],[Calling Node]],Nodes!A:D,4,0)</f>
        <v>18</v>
      </c>
      <c r="G228">
        <f>VLOOKUP(Table1[[#This Row],[Calling Node]],Nodes!A:E,5,0)</f>
        <v>4</v>
      </c>
      <c r="H228">
        <f>VLOOKUP(Table1[[#This Row],[Called Node]],Nodes!A:D,4,0)</f>
        <v>23</v>
      </c>
      <c r="I228">
        <f>VLOOKUP(Table1[[#This Row],[Called Node]],Nodes!A:E,5,0)</f>
        <v>15</v>
      </c>
    </row>
    <row r="229" spans="1:9" x14ac:dyDescent="0.3">
      <c r="A229" t="s">
        <v>84</v>
      </c>
      <c r="B229" t="str">
        <f>VLOOKUP(Table1[[#This Row],[Calling Node]],Nodes!A:B,2,0)</f>
        <v>upload_historical_non_COUNTER_usage</v>
      </c>
      <c r="C229" t="s">
        <v>152</v>
      </c>
      <c r="D229" t="str">
        <f>VLOOKUP(Table1[[#This Row],[Called Node]],Nodes!A:B,2,0)</f>
        <v>database_query_fail_statement</v>
      </c>
      <c r="E229" s="3" t="str">
        <f>Table1[[#This Row],[Calling Node]]&amp;" -&gt; "&amp;Table1[[#This Row],[Called Node]]</f>
        <v>upload_historical_non_COUNTER_usage -&gt; database_query_fail_statement</v>
      </c>
      <c r="F229">
        <f>VLOOKUP(Table1[[#This Row],[Calling Node]],Nodes!A:D,4,0)</f>
        <v>18</v>
      </c>
      <c r="G229">
        <f>VLOOKUP(Table1[[#This Row],[Calling Node]],Nodes!A:E,5,0)</f>
        <v>4</v>
      </c>
      <c r="H229">
        <f>VLOOKUP(Table1[[#This Row],[Called Node]],Nodes!A:D,4,0)</f>
        <v>23</v>
      </c>
      <c r="I229">
        <f>VLOOKUP(Table1[[#This Row],[Called Node]],Nodes!A:E,5,0)</f>
        <v>18</v>
      </c>
    </row>
    <row r="230" spans="1:9" x14ac:dyDescent="0.3">
      <c r="A230" t="s">
        <v>97</v>
      </c>
      <c r="B230" t="str">
        <f>VLOOKUP(Table1[[#This Row],[Calling Node]],Nodes!A:B,2,0)</f>
        <v>run_custom_SQL_query</v>
      </c>
      <c r="C230" t="s">
        <v>94</v>
      </c>
      <c r="D230" t="str">
        <f>VLOOKUP(Table1[[#This Row],[Called Node]],Nodes!A:B,2,0)</f>
        <v>set_encoding</v>
      </c>
      <c r="E230" s="3" t="str">
        <f>Table1[[#This Row],[Calling Node]]&amp;" -&gt; "&amp;Table1[[#This Row],[Called Node]]</f>
        <v>run_custom_SQL_query -&gt; set_encoding</v>
      </c>
      <c r="F230">
        <f>VLOOKUP(Table1[[#This Row],[Calling Node]],Nodes!A:D,4,0)</f>
        <v>21</v>
      </c>
      <c r="G230">
        <f>VLOOKUP(Table1[[#This Row],[Calling Node]],Nodes!A:E,5,0)</f>
        <v>5</v>
      </c>
      <c r="H230">
        <f>VLOOKUP(Table1[[#This Row],[Called Node]],Nodes!A:D,4,0)</f>
        <v>21</v>
      </c>
      <c r="I230">
        <f>VLOOKUP(Table1[[#This Row],[Called Node]],Nodes!A:E,5,0)</f>
        <v>2</v>
      </c>
    </row>
    <row r="231" spans="1:9" x14ac:dyDescent="0.3">
      <c r="A231" t="s">
        <v>97</v>
      </c>
      <c r="B231" t="str">
        <f>VLOOKUP(Table1[[#This Row],[Calling Node]],Nodes!A:B,2,0)</f>
        <v>run_custom_SQL_query</v>
      </c>
      <c r="C231" t="s">
        <v>95</v>
      </c>
      <c r="D231" t="str">
        <f>VLOOKUP(Table1[[#This Row],[Called Node]],Nodes!A:B,2,0)</f>
        <v>create_downloads_folder</v>
      </c>
      <c r="E231" s="3" t="str">
        <f>Table1[[#This Row],[Calling Node]]&amp;" -&gt; "&amp;Table1[[#This Row],[Called Node]]</f>
        <v>run_custom_SQL_query -&gt; create_downloads_folder</v>
      </c>
      <c r="F231">
        <f>VLOOKUP(Table1[[#This Row],[Calling Node]],Nodes!A:D,4,0)</f>
        <v>21</v>
      </c>
      <c r="G231">
        <f>VLOOKUP(Table1[[#This Row],[Calling Node]],Nodes!A:E,5,0)</f>
        <v>5</v>
      </c>
      <c r="H231">
        <f>VLOOKUP(Table1[[#This Row],[Called Node]],Nodes!A:D,4,0)</f>
        <v>21</v>
      </c>
      <c r="I231">
        <f>VLOOKUP(Table1[[#This Row],[Called Node]],Nodes!A:E,5,0)</f>
        <v>3</v>
      </c>
    </row>
    <row r="232" spans="1:9" x14ac:dyDescent="0.3">
      <c r="A232" t="s">
        <v>97</v>
      </c>
      <c r="B232" t="str">
        <f>VLOOKUP(Table1[[#This Row],[Calling Node]],Nodes!A:B,2,0)</f>
        <v>run_custom_SQL_query</v>
      </c>
      <c r="C232" t="s">
        <v>96</v>
      </c>
      <c r="D232" t="str">
        <f>VLOOKUP(Table1[[#This Row],[Called Node]],Nodes!A:B,2,0)</f>
        <v>view_usage_homepage</v>
      </c>
      <c r="E232" s="3" t="str">
        <f>Table1[[#This Row],[Calling Node]]&amp;" -&gt; "&amp;Table1[[#This Row],[Called Node]]</f>
        <v>run_custom_SQL_query -&gt; view_usage_homepage</v>
      </c>
      <c r="F232">
        <f>VLOOKUP(Table1[[#This Row],[Calling Node]],Nodes!A:D,4,0)</f>
        <v>21</v>
      </c>
      <c r="G232">
        <f>VLOOKUP(Table1[[#This Row],[Calling Node]],Nodes!A:E,5,0)</f>
        <v>5</v>
      </c>
      <c r="H232">
        <f>VLOOKUP(Table1[[#This Row],[Called Node]],Nodes!A:D,4,0)</f>
        <v>21</v>
      </c>
      <c r="I232">
        <f>VLOOKUP(Table1[[#This Row],[Called Node]],Nodes!A:E,5,0)</f>
        <v>4</v>
      </c>
    </row>
    <row r="233" spans="1:9" x14ac:dyDescent="0.3">
      <c r="A233" t="s">
        <v>97</v>
      </c>
      <c r="B233" t="str">
        <f>VLOOKUP(Table1[[#This Row],[Calling Node]],Nodes!A:B,2,0)</f>
        <v>run_custom_SQL_query</v>
      </c>
      <c r="C233" t="s">
        <v>123</v>
      </c>
      <c r="D233" t="str">
        <f>VLOOKUP(Table1[[#This Row],[Called Node]],Nodes!A:B,2,0)</f>
        <v>query_database</v>
      </c>
      <c r="E233" s="3" t="str">
        <f>Table1[[#This Row],[Calling Node]]&amp;" -&gt; "&amp;Table1[[#This Row],[Called Node]]</f>
        <v>run_custom_SQL_query -&gt; query_database</v>
      </c>
      <c r="F233">
        <f>VLOOKUP(Table1[[#This Row],[Calling Node]],Nodes!A:D,4,0)</f>
        <v>21</v>
      </c>
      <c r="G233">
        <f>VLOOKUP(Table1[[#This Row],[Calling Node]],Nodes!A:E,5,0)</f>
        <v>5</v>
      </c>
      <c r="H233">
        <f>VLOOKUP(Table1[[#This Row],[Called Node]],Nodes!A:D,4,0)</f>
        <v>22</v>
      </c>
      <c r="I233">
        <f>VLOOKUP(Table1[[#This Row],[Called Node]],Nodes!A:E,5,0)</f>
        <v>17</v>
      </c>
    </row>
    <row r="234" spans="1:9" x14ac:dyDescent="0.3">
      <c r="A234" t="s">
        <v>97</v>
      </c>
      <c r="B234" t="str">
        <f>VLOOKUP(Table1[[#This Row],[Calling Node]],Nodes!A:B,2,0)</f>
        <v>run_custom_SQL_query</v>
      </c>
      <c r="C234" t="s">
        <v>135</v>
      </c>
      <c r="D234" t="str">
        <f>VLOOKUP(Table1[[#This Row],[Called Node]],Nodes!A:B,2,0)</f>
        <v>file_extensions_and_mimetypes</v>
      </c>
      <c r="E234" s="3" t="str">
        <f>Table1[[#This Row],[Calling Node]]&amp;" -&gt; "&amp;Table1[[#This Row],[Called Node]]</f>
        <v>run_custom_SQL_query -&gt; file_extensions_and_mimetypes</v>
      </c>
      <c r="F234">
        <f>VLOOKUP(Table1[[#This Row],[Calling Node]],Nodes!A:D,4,0)</f>
        <v>21</v>
      </c>
      <c r="G234">
        <f>VLOOKUP(Table1[[#This Row],[Calling Node]],Nodes!A:E,5,0)</f>
        <v>5</v>
      </c>
      <c r="H234">
        <f>VLOOKUP(Table1[[#This Row],[Called Node]],Nodes!A:D,4,0)</f>
        <v>23</v>
      </c>
      <c r="I234">
        <f>VLOOKUP(Table1[[#This Row],[Called Node]],Nodes!A:E,5,0)</f>
        <v>1</v>
      </c>
    </row>
    <row r="235" spans="1:9" x14ac:dyDescent="0.3">
      <c r="A235" t="s">
        <v>97</v>
      </c>
      <c r="B235" t="str">
        <f>VLOOKUP(Table1[[#This Row],[Calling Node]],Nodes!A:B,2,0)</f>
        <v>run_custom_SQL_query</v>
      </c>
      <c r="C235" t="s">
        <v>142</v>
      </c>
      <c r="D235" t="str">
        <f>VLOOKUP(Table1[[#This Row],[Called Node]],Nodes!A:B,2,0)</f>
        <v>Flask_error_statement</v>
      </c>
      <c r="E235" s="3" t="str">
        <f>Table1[[#This Row],[Calling Node]]&amp;" -&gt; "&amp;Table1[[#This Row],[Called Node]]</f>
        <v>run_custom_SQL_query -&gt; Flask_error_statement</v>
      </c>
      <c r="F235">
        <f>VLOOKUP(Table1[[#This Row],[Calling Node]],Nodes!A:D,4,0)</f>
        <v>21</v>
      </c>
      <c r="G235">
        <f>VLOOKUP(Table1[[#This Row],[Calling Node]],Nodes!A:E,5,0)</f>
        <v>5</v>
      </c>
      <c r="H235">
        <f>VLOOKUP(Table1[[#This Row],[Called Node]],Nodes!A:D,4,0)</f>
        <v>23</v>
      </c>
      <c r="I235">
        <f>VLOOKUP(Table1[[#This Row],[Called Node]],Nodes!A:E,5,0)</f>
        <v>8</v>
      </c>
    </row>
    <row r="236" spans="1:9" x14ac:dyDescent="0.3">
      <c r="A236" t="s">
        <v>97</v>
      </c>
      <c r="B236" t="str">
        <f>VLOOKUP(Table1[[#This Row],[Calling Node]],Nodes!A:B,2,0)</f>
        <v>run_custom_SQL_query</v>
      </c>
      <c r="C236" t="s">
        <v>144</v>
      </c>
      <c r="D236" t="str">
        <f>VLOOKUP(Table1[[#This Row],[Called Node]],Nodes!A:B,2,0)</f>
        <v>list_folder_contents_statement</v>
      </c>
      <c r="E236" s="3" t="str">
        <f>Table1[[#This Row],[Calling Node]]&amp;" -&gt; "&amp;Table1[[#This Row],[Called Node]]</f>
        <v>run_custom_SQL_query -&gt; list_folder_contents_statement</v>
      </c>
      <c r="F236">
        <f>VLOOKUP(Table1[[#This Row],[Calling Node]],Nodes!A:D,4,0)</f>
        <v>21</v>
      </c>
      <c r="G236">
        <f>VLOOKUP(Table1[[#This Row],[Calling Node]],Nodes!A:E,5,0)</f>
        <v>5</v>
      </c>
      <c r="H236">
        <f>VLOOKUP(Table1[[#This Row],[Called Node]],Nodes!A:D,4,0)</f>
        <v>23</v>
      </c>
      <c r="I236">
        <f>VLOOKUP(Table1[[#This Row],[Called Node]],Nodes!A:E,5,0)</f>
        <v>10</v>
      </c>
    </row>
    <row r="237" spans="1:9" x14ac:dyDescent="0.3">
      <c r="A237" t="s">
        <v>97</v>
      </c>
      <c r="B237" t="str">
        <f>VLOOKUP(Table1[[#This Row],[Calling Node]],Nodes!A:B,2,0)</f>
        <v>run_custom_SQL_query</v>
      </c>
      <c r="C237" t="s">
        <v>145</v>
      </c>
      <c r="D237" t="str">
        <f>VLOOKUP(Table1[[#This Row],[Called Node]],Nodes!A:B,2,0)</f>
        <v>check_if_file_exists_statement</v>
      </c>
      <c r="E237" s="3" t="str">
        <f>Table1[[#This Row],[Calling Node]]&amp;" -&gt; "&amp;Table1[[#This Row],[Called Node]]</f>
        <v>run_custom_SQL_query -&gt; check_if_file_exists_statement</v>
      </c>
      <c r="F237">
        <f>VLOOKUP(Table1[[#This Row],[Calling Node]],Nodes!A:D,4,0)</f>
        <v>21</v>
      </c>
      <c r="G237">
        <f>VLOOKUP(Table1[[#This Row],[Calling Node]],Nodes!A:E,5,0)</f>
        <v>5</v>
      </c>
      <c r="H237">
        <f>VLOOKUP(Table1[[#This Row],[Called Node]],Nodes!A:D,4,0)</f>
        <v>23</v>
      </c>
      <c r="I237">
        <f>VLOOKUP(Table1[[#This Row],[Called Node]],Nodes!A:E,5,0)</f>
        <v>11</v>
      </c>
    </row>
    <row r="238" spans="1:9" x14ac:dyDescent="0.3">
      <c r="A238" t="s">
        <v>97</v>
      </c>
      <c r="B238" t="str">
        <f>VLOOKUP(Table1[[#This Row],[Calling Node]],Nodes!A:B,2,0)</f>
        <v>run_custom_SQL_query</v>
      </c>
      <c r="C238" t="s">
        <v>152</v>
      </c>
      <c r="D238" t="str">
        <f>VLOOKUP(Table1[[#This Row],[Called Node]],Nodes!A:B,2,0)</f>
        <v>database_query_fail_statement</v>
      </c>
      <c r="E238" s="3" t="str">
        <f>Table1[[#This Row],[Calling Node]]&amp;" -&gt; "&amp;Table1[[#This Row],[Called Node]]</f>
        <v>run_custom_SQL_query -&gt; database_query_fail_statement</v>
      </c>
      <c r="F238">
        <f>VLOOKUP(Table1[[#This Row],[Calling Node]],Nodes!A:D,4,0)</f>
        <v>21</v>
      </c>
      <c r="G238">
        <f>VLOOKUP(Table1[[#This Row],[Calling Node]],Nodes!A:E,5,0)</f>
        <v>5</v>
      </c>
      <c r="H238">
        <f>VLOOKUP(Table1[[#This Row],[Called Node]],Nodes!A:D,4,0)</f>
        <v>23</v>
      </c>
      <c r="I238">
        <f>VLOOKUP(Table1[[#This Row],[Called Node]],Nodes!A:E,5,0)</f>
        <v>18</v>
      </c>
    </row>
    <row r="239" spans="1:9" x14ac:dyDescent="0.3">
      <c r="A239" t="s">
        <v>98</v>
      </c>
      <c r="B239" t="str">
        <f>VLOOKUP(Table1[[#This Row],[Calling Node]],Nodes!A:B,2,0)</f>
        <v>use_predefined_SQL_query</v>
      </c>
      <c r="C239" t="s">
        <v>94</v>
      </c>
      <c r="D239" t="str">
        <f>VLOOKUP(Table1[[#This Row],[Called Node]],Nodes!A:B,2,0)</f>
        <v>set_encoding</v>
      </c>
      <c r="E239" s="3" t="str">
        <f>Table1[[#This Row],[Calling Node]]&amp;" -&gt; "&amp;Table1[[#This Row],[Called Node]]</f>
        <v>use_predefined_SQL_query -&gt; set_encoding</v>
      </c>
      <c r="F239">
        <f>VLOOKUP(Table1[[#This Row],[Calling Node]],Nodes!A:D,4,0)</f>
        <v>21</v>
      </c>
      <c r="G239">
        <f>VLOOKUP(Table1[[#This Row],[Calling Node]],Nodes!A:E,5,0)</f>
        <v>6</v>
      </c>
      <c r="H239">
        <f>VLOOKUP(Table1[[#This Row],[Called Node]],Nodes!A:D,4,0)</f>
        <v>21</v>
      </c>
      <c r="I239">
        <f>VLOOKUP(Table1[[#This Row],[Called Node]],Nodes!A:E,5,0)</f>
        <v>2</v>
      </c>
    </row>
    <row r="240" spans="1:9" x14ac:dyDescent="0.3">
      <c r="A240" t="s">
        <v>98</v>
      </c>
      <c r="B240" t="str">
        <f>VLOOKUP(Table1[[#This Row],[Calling Node]],Nodes!A:B,2,0)</f>
        <v>use_predefined_SQL_query</v>
      </c>
      <c r="C240" t="s">
        <v>95</v>
      </c>
      <c r="D240" t="str">
        <f>VLOOKUP(Table1[[#This Row],[Called Node]],Nodes!A:B,2,0)</f>
        <v>create_downloads_folder</v>
      </c>
      <c r="E240" s="3" t="str">
        <f>Table1[[#This Row],[Calling Node]]&amp;" -&gt; "&amp;Table1[[#This Row],[Called Node]]</f>
        <v>use_predefined_SQL_query -&gt; create_downloads_folder</v>
      </c>
      <c r="F240">
        <f>VLOOKUP(Table1[[#This Row],[Calling Node]],Nodes!A:D,4,0)</f>
        <v>21</v>
      </c>
      <c r="G240">
        <f>VLOOKUP(Table1[[#This Row],[Calling Node]],Nodes!A:E,5,0)</f>
        <v>6</v>
      </c>
      <c r="H240">
        <f>VLOOKUP(Table1[[#This Row],[Called Node]],Nodes!A:D,4,0)</f>
        <v>21</v>
      </c>
      <c r="I240">
        <f>VLOOKUP(Table1[[#This Row],[Called Node]],Nodes!A:E,5,0)</f>
        <v>3</v>
      </c>
    </row>
    <row r="241" spans="1:9" x14ac:dyDescent="0.3">
      <c r="A241" t="s">
        <v>98</v>
      </c>
      <c r="B241" t="str">
        <f>VLOOKUP(Table1[[#This Row],[Calling Node]],Nodes!A:B,2,0)</f>
        <v>use_predefined_SQL_query</v>
      </c>
      <c r="C241" t="s">
        <v>96</v>
      </c>
      <c r="D241" t="str">
        <f>VLOOKUP(Table1[[#This Row],[Called Node]],Nodes!A:B,2,0)</f>
        <v>view_usage_homepage</v>
      </c>
      <c r="E241" s="3" t="str">
        <f>Table1[[#This Row],[Calling Node]]&amp;" -&gt; "&amp;Table1[[#This Row],[Called Node]]</f>
        <v>use_predefined_SQL_query -&gt; view_usage_homepage</v>
      </c>
      <c r="F241">
        <f>VLOOKUP(Table1[[#This Row],[Calling Node]],Nodes!A:D,4,0)</f>
        <v>21</v>
      </c>
      <c r="G241">
        <f>VLOOKUP(Table1[[#This Row],[Calling Node]],Nodes!A:E,5,0)</f>
        <v>6</v>
      </c>
      <c r="H241">
        <f>VLOOKUP(Table1[[#This Row],[Called Node]],Nodes!A:D,4,0)</f>
        <v>21</v>
      </c>
      <c r="I241">
        <f>VLOOKUP(Table1[[#This Row],[Called Node]],Nodes!A:E,5,0)</f>
        <v>4</v>
      </c>
    </row>
    <row r="242" spans="1:9" x14ac:dyDescent="0.3">
      <c r="A242" t="s">
        <v>98</v>
      </c>
      <c r="B242" t="str">
        <f>VLOOKUP(Table1[[#This Row],[Calling Node]],Nodes!A:B,2,0)</f>
        <v>use_predefined_SQL_query</v>
      </c>
      <c r="C242" t="s">
        <v>115</v>
      </c>
      <c r="D242" t="str">
        <f>VLOOKUP(Table1[[#This Row],[Called Node]],Nodes!A:B,2,0)</f>
        <v>last_day_of_month</v>
      </c>
      <c r="E242" s="3" t="str">
        <f>Table1[[#This Row],[Calling Node]]&amp;" -&gt; "&amp;Table1[[#This Row],[Called Node]]</f>
        <v>use_predefined_SQL_query -&gt; last_day_of_month</v>
      </c>
      <c r="F242">
        <f>VLOOKUP(Table1[[#This Row],[Calling Node]],Nodes!A:D,4,0)</f>
        <v>21</v>
      </c>
      <c r="G242">
        <f>VLOOKUP(Table1[[#This Row],[Calling Node]],Nodes!A:E,5,0)</f>
        <v>6</v>
      </c>
      <c r="H242">
        <f>VLOOKUP(Table1[[#This Row],[Called Node]],Nodes!A:D,4,0)</f>
        <v>22</v>
      </c>
      <c r="I242">
        <f>VLOOKUP(Table1[[#This Row],[Called Node]],Nodes!A:E,5,0)</f>
        <v>9</v>
      </c>
    </row>
    <row r="243" spans="1:9" x14ac:dyDescent="0.3">
      <c r="A243" t="s">
        <v>98</v>
      </c>
      <c r="B243" t="str">
        <f>VLOOKUP(Table1[[#This Row],[Calling Node]],Nodes!A:B,2,0)</f>
        <v>use_predefined_SQL_query</v>
      </c>
      <c r="C243" t="s">
        <v>123</v>
      </c>
      <c r="D243" t="str">
        <f>VLOOKUP(Table1[[#This Row],[Called Node]],Nodes!A:B,2,0)</f>
        <v>query_database</v>
      </c>
      <c r="E243" s="3" t="str">
        <f>Table1[[#This Row],[Calling Node]]&amp;" -&gt; "&amp;Table1[[#This Row],[Called Node]]</f>
        <v>use_predefined_SQL_query -&gt; query_database</v>
      </c>
      <c r="F243">
        <f>VLOOKUP(Table1[[#This Row],[Calling Node]],Nodes!A:D,4,0)</f>
        <v>21</v>
      </c>
      <c r="G243">
        <f>VLOOKUP(Table1[[#This Row],[Calling Node]],Nodes!A:E,5,0)</f>
        <v>6</v>
      </c>
      <c r="H243">
        <f>VLOOKUP(Table1[[#This Row],[Called Node]],Nodes!A:D,4,0)</f>
        <v>22</v>
      </c>
      <c r="I243">
        <f>VLOOKUP(Table1[[#This Row],[Called Node]],Nodes!A:E,5,0)</f>
        <v>17</v>
      </c>
    </row>
    <row r="244" spans="1:9" x14ac:dyDescent="0.3">
      <c r="A244" t="s">
        <v>98</v>
      </c>
      <c r="B244" t="str">
        <f>VLOOKUP(Table1[[#This Row],[Calling Node]],Nodes!A:B,2,0)</f>
        <v>use_predefined_SQL_query</v>
      </c>
      <c r="C244" t="s">
        <v>135</v>
      </c>
      <c r="D244" t="str">
        <f>VLOOKUP(Table1[[#This Row],[Called Node]],Nodes!A:B,2,0)</f>
        <v>file_extensions_and_mimetypes</v>
      </c>
      <c r="E244" s="3" t="str">
        <f>Table1[[#This Row],[Calling Node]]&amp;" -&gt; "&amp;Table1[[#This Row],[Called Node]]</f>
        <v>use_predefined_SQL_query -&gt; file_extensions_and_mimetypes</v>
      </c>
      <c r="F244">
        <f>VLOOKUP(Table1[[#This Row],[Calling Node]],Nodes!A:D,4,0)</f>
        <v>21</v>
      </c>
      <c r="G244">
        <f>VLOOKUP(Table1[[#This Row],[Calling Node]],Nodes!A:E,5,0)</f>
        <v>6</v>
      </c>
      <c r="H244">
        <f>VLOOKUP(Table1[[#This Row],[Called Node]],Nodes!A:D,4,0)</f>
        <v>23</v>
      </c>
      <c r="I244">
        <f>VLOOKUP(Table1[[#This Row],[Called Node]],Nodes!A:E,5,0)</f>
        <v>1</v>
      </c>
    </row>
    <row r="245" spans="1:9" x14ac:dyDescent="0.3">
      <c r="A245" t="s">
        <v>98</v>
      </c>
      <c r="B245" t="str">
        <f>VLOOKUP(Table1[[#This Row],[Calling Node]],Nodes!A:B,2,0)</f>
        <v>use_predefined_SQL_query</v>
      </c>
      <c r="C245" t="s">
        <v>142</v>
      </c>
      <c r="D245" t="str">
        <f>VLOOKUP(Table1[[#This Row],[Called Node]],Nodes!A:B,2,0)</f>
        <v>Flask_error_statement</v>
      </c>
      <c r="E245" s="3" t="str">
        <f>Table1[[#This Row],[Calling Node]]&amp;" -&gt; "&amp;Table1[[#This Row],[Called Node]]</f>
        <v>use_predefined_SQL_query -&gt; Flask_error_statement</v>
      </c>
      <c r="F245">
        <f>VLOOKUP(Table1[[#This Row],[Calling Node]],Nodes!A:D,4,0)</f>
        <v>21</v>
      </c>
      <c r="G245">
        <f>VLOOKUP(Table1[[#This Row],[Calling Node]],Nodes!A:E,5,0)</f>
        <v>6</v>
      </c>
      <c r="H245">
        <f>VLOOKUP(Table1[[#This Row],[Called Node]],Nodes!A:D,4,0)</f>
        <v>23</v>
      </c>
      <c r="I245">
        <f>VLOOKUP(Table1[[#This Row],[Called Node]],Nodes!A:E,5,0)</f>
        <v>8</v>
      </c>
    </row>
    <row r="246" spans="1:9" x14ac:dyDescent="0.3">
      <c r="A246" t="s">
        <v>98</v>
      </c>
      <c r="B246" t="str">
        <f>VLOOKUP(Table1[[#This Row],[Calling Node]],Nodes!A:B,2,0)</f>
        <v>use_predefined_SQL_query</v>
      </c>
      <c r="C246" t="s">
        <v>144</v>
      </c>
      <c r="D246" t="str">
        <f>VLOOKUP(Table1[[#This Row],[Called Node]],Nodes!A:B,2,0)</f>
        <v>list_folder_contents_statement</v>
      </c>
      <c r="E246" s="3" t="str">
        <f>Table1[[#This Row],[Calling Node]]&amp;" -&gt; "&amp;Table1[[#This Row],[Called Node]]</f>
        <v>use_predefined_SQL_query -&gt; list_folder_contents_statement</v>
      </c>
      <c r="F246">
        <f>VLOOKUP(Table1[[#This Row],[Calling Node]],Nodes!A:D,4,0)</f>
        <v>21</v>
      </c>
      <c r="G246">
        <f>VLOOKUP(Table1[[#This Row],[Calling Node]],Nodes!A:E,5,0)</f>
        <v>6</v>
      </c>
      <c r="H246">
        <f>VLOOKUP(Table1[[#This Row],[Called Node]],Nodes!A:D,4,0)</f>
        <v>23</v>
      </c>
      <c r="I246">
        <f>VLOOKUP(Table1[[#This Row],[Called Node]],Nodes!A:E,5,0)</f>
        <v>10</v>
      </c>
    </row>
    <row r="247" spans="1:9" x14ac:dyDescent="0.3">
      <c r="A247" t="s">
        <v>98</v>
      </c>
      <c r="B247" t="str">
        <f>VLOOKUP(Table1[[#This Row],[Calling Node]],Nodes!A:B,2,0)</f>
        <v>use_predefined_SQL_query</v>
      </c>
      <c r="C247" t="s">
        <v>145</v>
      </c>
      <c r="D247" t="str">
        <f>VLOOKUP(Table1[[#This Row],[Called Node]],Nodes!A:B,2,0)</f>
        <v>check_if_file_exists_statement</v>
      </c>
      <c r="E247" s="3" t="str">
        <f>Table1[[#This Row],[Calling Node]]&amp;" -&gt; "&amp;Table1[[#This Row],[Called Node]]</f>
        <v>use_predefined_SQL_query -&gt; check_if_file_exists_statement</v>
      </c>
      <c r="F247">
        <f>VLOOKUP(Table1[[#This Row],[Calling Node]],Nodes!A:D,4,0)</f>
        <v>21</v>
      </c>
      <c r="G247">
        <f>VLOOKUP(Table1[[#This Row],[Calling Node]],Nodes!A:E,5,0)</f>
        <v>6</v>
      </c>
      <c r="H247">
        <f>VLOOKUP(Table1[[#This Row],[Called Node]],Nodes!A:D,4,0)</f>
        <v>23</v>
      </c>
      <c r="I247">
        <f>VLOOKUP(Table1[[#This Row],[Called Node]],Nodes!A:E,5,0)</f>
        <v>11</v>
      </c>
    </row>
    <row r="248" spans="1:9" x14ac:dyDescent="0.3">
      <c r="A248" t="s">
        <v>98</v>
      </c>
      <c r="B248" t="str">
        <f>VLOOKUP(Table1[[#This Row],[Calling Node]],Nodes!A:B,2,0)</f>
        <v>use_predefined_SQL_query</v>
      </c>
      <c r="C248" t="s">
        <v>152</v>
      </c>
      <c r="D248" t="str">
        <f>VLOOKUP(Table1[[#This Row],[Called Node]],Nodes!A:B,2,0)</f>
        <v>database_query_fail_statement</v>
      </c>
      <c r="E248" s="3" t="str">
        <f>Table1[[#This Row],[Calling Node]]&amp;" -&gt; "&amp;Table1[[#This Row],[Called Node]]</f>
        <v>use_predefined_SQL_query -&gt; database_query_fail_statement</v>
      </c>
      <c r="F248">
        <f>VLOOKUP(Table1[[#This Row],[Calling Node]],Nodes!A:D,4,0)</f>
        <v>21</v>
      </c>
      <c r="G248">
        <f>VLOOKUP(Table1[[#This Row],[Calling Node]],Nodes!A:E,5,0)</f>
        <v>6</v>
      </c>
      <c r="H248">
        <f>VLOOKUP(Table1[[#This Row],[Called Node]],Nodes!A:D,4,0)</f>
        <v>23</v>
      </c>
      <c r="I248">
        <f>VLOOKUP(Table1[[#This Row],[Called Node]],Nodes!A:E,5,0)</f>
        <v>18</v>
      </c>
    </row>
    <row r="249" spans="1:9" x14ac:dyDescent="0.3">
      <c r="A249" t="s">
        <v>98</v>
      </c>
      <c r="B249" t="str">
        <f>VLOOKUP(Table1[[#This Row],[Calling Node]],Nodes!A:B,2,0)</f>
        <v>use_predefined_SQL_query</v>
      </c>
      <c r="C249" t="s">
        <v>162</v>
      </c>
      <c r="D249" t="str">
        <f>VLOOKUP(Table1[[#This Row],[Called Node]],Nodes!A:B,2,0)</f>
        <v>attempted_SUSHI_call_with_invalid_dates_statement</v>
      </c>
      <c r="E249" s="3" t="str">
        <f>Table1[[#This Row],[Calling Node]]&amp;" -&gt; "&amp;Table1[[#This Row],[Called Node]]</f>
        <v>use_predefined_SQL_query -&gt; attempted_SUSHI_call_with_invalid_dates_statement</v>
      </c>
      <c r="F249">
        <f>VLOOKUP(Table1[[#This Row],[Calling Node]],Nodes!A:D,4,0)</f>
        <v>21</v>
      </c>
      <c r="G249">
        <f>VLOOKUP(Table1[[#This Row],[Calling Node]],Nodes!A:E,5,0)</f>
        <v>6</v>
      </c>
      <c r="H249">
        <f>VLOOKUP(Table1[[#This Row],[Called Node]],Nodes!A:D,4,0)</f>
        <v>23</v>
      </c>
      <c r="I249">
        <f>VLOOKUP(Table1[[#This Row],[Called Node]],Nodes!A:E,5,0)</f>
        <v>28</v>
      </c>
    </row>
    <row r="250" spans="1:9" x14ac:dyDescent="0.3">
      <c r="A250" t="s">
        <v>99</v>
      </c>
      <c r="B250" t="str">
        <f>VLOOKUP(Table1[[#This Row],[Calling Node]],Nodes!A:B,2,0)</f>
        <v>start_query_wizard</v>
      </c>
      <c r="C250" t="s">
        <v>96</v>
      </c>
      <c r="D250" t="str">
        <f>VLOOKUP(Table1[[#This Row],[Called Node]],Nodes!A:B,2,0)</f>
        <v>view_usage_homepage</v>
      </c>
      <c r="E250" s="3" t="str">
        <f>Table1[[#This Row],[Calling Node]]&amp;" -&gt; "&amp;Table1[[#This Row],[Called Node]]</f>
        <v>start_query_wizard -&gt; view_usage_homepage</v>
      </c>
      <c r="F250">
        <f>VLOOKUP(Table1[[#This Row],[Calling Node]],Nodes!A:D,4,0)</f>
        <v>21</v>
      </c>
      <c r="G250">
        <f>VLOOKUP(Table1[[#This Row],[Calling Node]],Nodes!A:E,5,0)</f>
        <v>7</v>
      </c>
      <c r="H250">
        <f>VLOOKUP(Table1[[#This Row],[Called Node]],Nodes!A:D,4,0)</f>
        <v>21</v>
      </c>
      <c r="I250">
        <f>VLOOKUP(Table1[[#This Row],[Called Node]],Nodes!A:E,5,0)</f>
        <v>4</v>
      </c>
    </row>
    <row r="251" spans="1:9" x14ac:dyDescent="0.3">
      <c r="A251" t="s">
        <v>99</v>
      </c>
      <c r="B251" t="str">
        <f>VLOOKUP(Table1[[#This Row],[Calling Node]],Nodes!A:B,2,0)</f>
        <v>start_query_wizard</v>
      </c>
      <c r="C251" t="s">
        <v>100</v>
      </c>
      <c r="D251" t="str">
        <f>VLOOKUP(Table1[[#This Row],[Called Node]],Nodes!A:B,2,0)</f>
        <v>query_wizard_sort_redirect</v>
      </c>
      <c r="E251" s="3" t="str">
        <f>Table1[[#This Row],[Calling Node]]&amp;" -&gt; "&amp;Table1[[#This Row],[Called Node]]</f>
        <v>start_query_wizard -&gt; query_wizard_sort_redirect</v>
      </c>
      <c r="F251">
        <f>VLOOKUP(Table1[[#This Row],[Calling Node]],Nodes!A:D,4,0)</f>
        <v>21</v>
      </c>
      <c r="G251">
        <f>VLOOKUP(Table1[[#This Row],[Calling Node]],Nodes!A:E,5,0)</f>
        <v>7</v>
      </c>
      <c r="H251">
        <f>VLOOKUP(Table1[[#This Row],[Called Node]],Nodes!A:D,4,0)</f>
        <v>21</v>
      </c>
      <c r="I251">
        <f>VLOOKUP(Table1[[#This Row],[Called Node]],Nodes!A:E,5,0)</f>
        <v>8</v>
      </c>
    </row>
    <row r="252" spans="1:9" x14ac:dyDescent="0.3">
      <c r="A252" t="s">
        <v>99</v>
      </c>
      <c r="B252" t="str">
        <f>VLOOKUP(Table1[[#This Row],[Calling Node]],Nodes!A:B,2,0)</f>
        <v>start_query_wizard</v>
      </c>
      <c r="C252" t="s">
        <v>115</v>
      </c>
      <c r="D252" t="str">
        <f>VLOOKUP(Table1[[#This Row],[Called Node]],Nodes!A:B,2,0)</f>
        <v>last_day_of_month</v>
      </c>
      <c r="E252" s="3" t="str">
        <f>Table1[[#This Row],[Calling Node]]&amp;" -&gt; "&amp;Table1[[#This Row],[Called Node]]</f>
        <v>start_query_wizard -&gt; last_day_of_month</v>
      </c>
      <c r="F252">
        <f>VLOOKUP(Table1[[#This Row],[Calling Node]],Nodes!A:D,4,0)</f>
        <v>21</v>
      </c>
      <c r="G252">
        <f>VLOOKUP(Table1[[#This Row],[Calling Node]],Nodes!A:E,5,0)</f>
        <v>7</v>
      </c>
      <c r="H252">
        <f>VLOOKUP(Table1[[#This Row],[Called Node]],Nodes!A:D,4,0)</f>
        <v>22</v>
      </c>
      <c r="I252">
        <f>VLOOKUP(Table1[[#This Row],[Called Node]],Nodes!A:E,5,0)</f>
        <v>9</v>
      </c>
    </row>
    <row r="253" spans="1:9" x14ac:dyDescent="0.3">
      <c r="A253" t="s">
        <v>99</v>
      </c>
      <c r="B253" t="str">
        <f>VLOOKUP(Table1[[#This Row],[Calling Node]],Nodes!A:B,2,0)</f>
        <v>start_query_wizard</v>
      </c>
      <c r="C253" t="s">
        <v>123</v>
      </c>
      <c r="D253" t="str">
        <f>VLOOKUP(Table1[[#This Row],[Called Node]],Nodes!A:B,2,0)</f>
        <v>query_database</v>
      </c>
      <c r="E253" s="3" t="str">
        <f>Table1[[#This Row],[Calling Node]]&amp;" -&gt; "&amp;Table1[[#This Row],[Called Node]]</f>
        <v>start_query_wizard -&gt; query_database</v>
      </c>
      <c r="F253">
        <f>VLOOKUP(Table1[[#This Row],[Calling Node]],Nodes!A:D,4,0)</f>
        <v>21</v>
      </c>
      <c r="G253">
        <f>VLOOKUP(Table1[[#This Row],[Calling Node]],Nodes!A:E,5,0)</f>
        <v>7</v>
      </c>
      <c r="H253">
        <f>VLOOKUP(Table1[[#This Row],[Called Node]],Nodes!A:D,4,0)</f>
        <v>22</v>
      </c>
      <c r="I253">
        <f>VLOOKUP(Table1[[#This Row],[Called Node]],Nodes!A:E,5,0)</f>
        <v>17</v>
      </c>
    </row>
    <row r="254" spans="1:9" x14ac:dyDescent="0.3">
      <c r="A254" t="s">
        <v>99</v>
      </c>
      <c r="B254" t="str">
        <f>VLOOKUP(Table1[[#This Row],[Calling Node]],Nodes!A:B,2,0)</f>
        <v>start_query_wizard</v>
      </c>
      <c r="C254" t="s">
        <v>142</v>
      </c>
      <c r="D254" t="str">
        <f>VLOOKUP(Table1[[#This Row],[Called Node]],Nodes!A:B,2,0)</f>
        <v>Flask_error_statement</v>
      </c>
      <c r="E254" s="3" t="str">
        <f>Table1[[#This Row],[Calling Node]]&amp;" -&gt; "&amp;Table1[[#This Row],[Called Node]]</f>
        <v>start_query_wizard -&gt; Flask_error_statement</v>
      </c>
      <c r="F254">
        <f>VLOOKUP(Table1[[#This Row],[Calling Node]],Nodes!A:D,4,0)</f>
        <v>21</v>
      </c>
      <c r="G254">
        <f>VLOOKUP(Table1[[#This Row],[Calling Node]],Nodes!A:E,5,0)</f>
        <v>7</v>
      </c>
      <c r="H254">
        <f>VLOOKUP(Table1[[#This Row],[Called Node]],Nodes!A:D,4,0)</f>
        <v>23</v>
      </c>
      <c r="I254">
        <f>VLOOKUP(Table1[[#This Row],[Called Node]],Nodes!A:E,5,0)</f>
        <v>8</v>
      </c>
    </row>
    <row r="255" spans="1:9" x14ac:dyDescent="0.3">
      <c r="A255" t="s">
        <v>99</v>
      </c>
      <c r="B255" t="str">
        <f>VLOOKUP(Table1[[#This Row],[Calling Node]],Nodes!A:B,2,0)</f>
        <v>start_query_wizard</v>
      </c>
      <c r="C255" t="s">
        <v>152</v>
      </c>
      <c r="D255" t="str">
        <f>VLOOKUP(Table1[[#This Row],[Called Node]],Nodes!A:B,2,0)</f>
        <v>database_query_fail_statement</v>
      </c>
      <c r="E255" s="3" t="str">
        <f>Table1[[#This Row],[Calling Node]]&amp;" -&gt; "&amp;Table1[[#This Row],[Called Node]]</f>
        <v>start_query_wizard -&gt; database_query_fail_statement</v>
      </c>
      <c r="F255">
        <f>VLOOKUP(Table1[[#This Row],[Calling Node]],Nodes!A:D,4,0)</f>
        <v>21</v>
      </c>
      <c r="G255">
        <f>VLOOKUP(Table1[[#This Row],[Calling Node]],Nodes!A:E,5,0)</f>
        <v>7</v>
      </c>
      <c r="H255">
        <f>VLOOKUP(Table1[[#This Row],[Called Node]],Nodes!A:D,4,0)</f>
        <v>23</v>
      </c>
      <c r="I255">
        <f>VLOOKUP(Table1[[#This Row],[Called Node]],Nodes!A:E,5,0)</f>
        <v>18</v>
      </c>
    </row>
    <row r="256" spans="1:9" x14ac:dyDescent="0.3">
      <c r="A256" t="s">
        <v>100</v>
      </c>
      <c r="B256" t="str">
        <f>VLOOKUP(Table1[[#This Row],[Calling Node]],Nodes!A:B,2,0)</f>
        <v>query_wizard_sort_redirect</v>
      </c>
      <c r="C256" t="s">
        <v>99</v>
      </c>
      <c r="D256" t="str">
        <f>VLOOKUP(Table1[[#This Row],[Called Node]],Nodes!A:B,2,0)</f>
        <v>start_query_wizard</v>
      </c>
      <c r="E256" s="3" t="str">
        <f>Table1[[#This Row],[Calling Node]]&amp;" -&gt; "&amp;Table1[[#This Row],[Called Node]]</f>
        <v>query_wizard_sort_redirect -&gt; start_query_wizard</v>
      </c>
      <c r="F256">
        <f>VLOOKUP(Table1[[#This Row],[Calling Node]],Nodes!A:D,4,0)</f>
        <v>21</v>
      </c>
      <c r="G256">
        <f>VLOOKUP(Table1[[#This Row],[Calling Node]],Nodes!A:E,5,0)</f>
        <v>8</v>
      </c>
      <c r="H256">
        <f>VLOOKUP(Table1[[#This Row],[Called Node]],Nodes!A:D,4,0)</f>
        <v>21</v>
      </c>
      <c r="I256">
        <f>VLOOKUP(Table1[[#This Row],[Called Node]],Nodes!A:E,5,0)</f>
        <v>7</v>
      </c>
    </row>
    <row r="257" spans="1:9" x14ac:dyDescent="0.3">
      <c r="A257" t="s">
        <v>100</v>
      </c>
      <c r="B257" t="str">
        <f>VLOOKUP(Table1[[#This Row],[Calling Node]],Nodes!A:B,2,0)</f>
        <v>query_wizard_sort_redirect</v>
      </c>
      <c r="C257" t="s">
        <v>142</v>
      </c>
      <c r="D257" t="str">
        <f>VLOOKUP(Table1[[#This Row],[Called Node]],Nodes!A:B,2,0)</f>
        <v>Flask_error_statement</v>
      </c>
      <c r="E257" s="3" t="str">
        <f>Table1[[#This Row],[Calling Node]]&amp;" -&gt; "&amp;Table1[[#This Row],[Called Node]]</f>
        <v>query_wizard_sort_redirect -&gt; Flask_error_statement</v>
      </c>
      <c r="F257">
        <f>VLOOKUP(Table1[[#This Row],[Calling Node]],Nodes!A:D,4,0)</f>
        <v>21</v>
      </c>
      <c r="G257">
        <f>VLOOKUP(Table1[[#This Row],[Calling Node]],Nodes!A:E,5,0)</f>
        <v>8</v>
      </c>
      <c r="H257">
        <f>VLOOKUP(Table1[[#This Row],[Called Node]],Nodes!A:D,4,0)</f>
        <v>23</v>
      </c>
      <c r="I257">
        <f>VLOOKUP(Table1[[#This Row],[Called Node]],Nodes!A:E,5,0)</f>
        <v>8</v>
      </c>
    </row>
    <row r="258" spans="1:9" x14ac:dyDescent="0.3">
      <c r="A258" t="s">
        <v>100</v>
      </c>
      <c r="B258" t="str">
        <f>VLOOKUP(Table1[[#This Row],[Calling Node]],Nodes!A:B,2,0)</f>
        <v>query_wizard_sort_redirect</v>
      </c>
      <c r="C258" t="s">
        <v>162</v>
      </c>
      <c r="D258" t="str">
        <f>VLOOKUP(Table1[[#This Row],[Called Node]],Nodes!A:B,2,0)</f>
        <v>attempted_SUSHI_call_with_invalid_dates_statement</v>
      </c>
      <c r="E258" s="3" t="str">
        <f>Table1[[#This Row],[Calling Node]]&amp;" -&gt; "&amp;Table1[[#This Row],[Called Node]]</f>
        <v>query_wizard_sort_redirect -&gt; attempted_SUSHI_call_with_invalid_dates_statement</v>
      </c>
      <c r="F258">
        <f>VLOOKUP(Table1[[#This Row],[Calling Node]],Nodes!A:D,4,0)</f>
        <v>21</v>
      </c>
      <c r="G258">
        <f>VLOOKUP(Table1[[#This Row],[Calling Node]],Nodes!A:E,5,0)</f>
        <v>8</v>
      </c>
      <c r="H258">
        <f>VLOOKUP(Table1[[#This Row],[Called Node]],Nodes!A:D,4,0)</f>
        <v>23</v>
      </c>
      <c r="I258">
        <f>VLOOKUP(Table1[[#This Row],[Called Node]],Nodes!A:E,5,0)</f>
        <v>28</v>
      </c>
    </row>
    <row r="259" spans="1:9" x14ac:dyDescent="0.3">
      <c r="A259" t="s">
        <v>101</v>
      </c>
      <c r="B259" t="str">
        <f>VLOOKUP(Table1[[#This Row],[Calling Node]],Nodes!A:B,2,0)</f>
        <v>construct_PR_query_with_wizard</v>
      </c>
      <c r="C259" t="s">
        <v>93</v>
      </c>
      <c r="D259" t="str">
        <f>VLOOKUP(Table1[[#This Row],[Called Node]],Nodes!A:B,2,0)</f>
        <v>create_COUNTER_fixed_vocab_list</v>
      </c>
      <c r="E259" s="3" t="str">
        <f>Table1[[#This Row],[Calling Node]]&amp;" -&gt; "&amp;Table1[[#This Row],[Called Node]]</f>
        <v>construct_PR_query_with_wizard -&gt; create_COUNTER_fixed_vocab_list</v>
      </c>
      <c r="F259">
        <f>VLOOKUP(Table1[[#This Row],[Calling Node]],Nodes!A:D,4,0)</f>
        <v>21</v>
      </c>
      <c r="G259">
        <f>VLOOKUP(Table1[[#This Row],[Calling Node]],Nodes!A:E,5,0)</f>
        <v>9</v>
      </c>
      <c r="H259">
        <f>VLOOKUP(Table1[[#This Row],[Called Node]],Nodes!A:D,4,0)</f>
        <v>21</v>
      </c>
      <c r="I259">
        <f>VLOOKUP(Table1[[#This Row],[Called Node]],Nodes!A:E,5,0)</f>
        <v>1</v>
      </c>
    </row>
    <row r="260" spans="1:9" x14ac:dyDescent="0.3">
      <c r="A260" t="s">
        <v>101</v>
      </c>
      <c r="B260" t="str">
        <f>VLOOKUP(Table1[[#This Row],[Calling Node]],Nodes!A:B,2,0)</f>
        <v>construct_PR_query_with_wizard</v>
      </c>
      <c r="C260" t="s">
        <v>94</v>
      </c>
      <c r="D260" t="str">
        <f>VLOOKUP(Table1[[#This Row],[Called Node]],Nodes!A:B,2,0)</f>
        <v>set_encoding</v>
      </c>
      <c r="E260" s="3" t="str">
        <f>Table1[[#This Row],[Calling Node]]&amp;" -&gt; "&amp;Table1[[#This Row],[Called Node]]</f>
        <v>construct_PR_query_with_wizard -&gt; set_encoding</v>
      </c>
      <c r="F260">
        <f>VLOOKUP(Table1[[#This Row],[Calling Node]],Nodes!A:D,4,0)</f>
        <v>21</v>
      </c>
      <c r="G260">
        <f>VLOOKUP(Table1[[#This Row],[Calling Node]],Nodes!A:E,5,0)</f>
        <v>9</v>
      </c>
      <c r="H260">
        <f>VLOOKUP(Table1[[#This Row],[Called Node]],Nodes!A:D,4,0)</f>
        <v>21</v>
      </c>
      <c r="I260">
        <f>VLOOKUP(Table1[[#This Row],[Called Node]],Nodes!A:E,5,0)</f>
        <v>2</v>
      </c>
    </row>
    <row r="261" spans="1:9" x14ac:dyDescent="0.3">
      <c r="A261" t="s">
        <v>101</v>
      </c>
      <c r="B261" t="str">
        <f>VLOOKUP(Table1[[#This Row],[Calling Node]],Nodes!A:B,2,0)</f>
        <v>construct_PR_query_with_wizard</v>
      </c>
      <c r="C261" t="s">
        <v>95</v>
      </c>
      <c r="D261" t="str">
        <f>VLOOKUP(Table1[[#This Row],[Called Node]],Nodes!A:B,2,0)</f>
        <v>create_downloads_folder</v>
      </c>
      <c r="E261" s="3" t="str">
        <f>Table1[[#This Row],[Calling Node]]&amp;" -&gt; "&amp;Table1[[#This Row],[Called Node]]</f>
        <v>construct_PR_query_with_wizard -&gt; create_downloads_folder</v>
      </c>
      <c r="F261">
        <f>VLOOKUP(Table1[[#This Row],[Calling Node]],Nodes!A:D,4,0)</f>
        <v>21</v>
      </c>
      <c r="G261">
        <f>VLOOKUP(Table1[[#This Row],[Calling Node]],Nodes!A:E,5,0)</f>
        <v>9</v>
      </c>
      <c r="H261">
        <f>VLOOKUP(Table1[[#This Row],[Called Node]],Nodes!A:D,4,0)</f>
        <v>21</v>
      </c>
      <c r="I261">
        <f>VLOOKUP(Table1[[#This Row],[Called Node]],Nodes!A:E,5,0)</f>
        <v>3</v>
      </c>
    </row>
    <row r="262" spans="1:9" x14ac:dyDescent="0.3">
      <c r="A262" t="s">
        <v>101</v>
      </c>
      <c r="B262" t="str">
        <f>VLOOKUP(Table1[[#This Row],[Calling Node]],Nodes!A:B,2,0)</f>
        <v>construct_PR_query_with_wizard</v>
      </c>
      <c r="C262" t="s">
        <v>96</v>
      </c>
      <c r="D262" t="str">
        <f>VLOOKUP(Table1[[#This Row],[Called Node]],Nodes!A:B,2,0)</f>
        <v>view_usage_homepage</v>
      </c>
      <c r="E262" s="3" t="str">
        <f>Table1[[#This Row],[Calling Node]]&amp;" -&gt; "&amp;Table1[[#This Row],[Called Node]]</f>
        <v>construct_PR_query_with_wizard -&gt; view_usage_homepage</v>
      </c>
      <c r="F262">
        <f>VLOOKUP(Table1[[#This Row],[Calling Node]],Nodes!A:D,4,0)</f>
        <v>21</v>
      </c>
      <c r="G262">
        <f>VLOOKUP(Table1[[#This Row],[Calling Node]],Nodes!A:E,5,0)</f>
        <v>9</v>
      </c>
      <c r="H262">
        <f>VLOOKUP(Table1[[#This Row],[Called Node]],Nodes!A:D,4,0)</f>
        <v>21</v>
      </c>
      <c r="I262">
        <f>VLOOKUP(Table1[[#This Row],[Called Node]],Nodes!A:E,5,0)</f>
        <v>4</v>
      </c>
    </row>
    <row r="263" spans="1:9" x14ac:dyDescent="0.3">
      <c r="A263" t="s">
        <v>101</v>
      </c>
      <c r="B263" t="str">
        <f>VLOOKUP(Table1[[#This Row],[Calling Node]],Nodes!A:B,2,0)</f>
        <v>construct_PR_query_with_wizard</v>
      </c>
      <c r="C263" t="s">
        <v>117</v>
      </c>
      <c r="D263" t="str">
        <f>VLOOKUP(Table1[[#This Row],[Called Node]],Nodes!A:B,2,0)</f>
        <v>return_string_of_dataframe_info</v>
      </c>
      <c r="E263" s="3" t="str">
        <f>Table1[[#This Row],[Calling Node]]&amp;" -&gt; "&amp;Table1[[#This Row],[Called Node]]</f>
        <v>construct_PR_query_with_wizard -&gt; return_string_of_dataframe_info</v>
      </c>
      <c r="F263">
        <f>VLOOKUP(Table1[[#This Row],[Calling Node]],Nodes!A:D,4,0)</f>
        <v>21</v>
      </c>
      <c r="G263">
        <f>VLOOKUP(Table1[[#This Row],[Calling Node]],Nodes!A:E,5,0)</f>
        <v>9</v>
      </c>
      <c r="H263">
        <f>VLOOKUP(Table1[[#This Row],[Called Node]],Nodes!A:D,4,0)</f>
        <v>22</v>
      </c>
      <c r="I263">
        <f>VLOOKUP(Table1[[#This Row],[Called Node]],Nodes!A:E,5,0)</f>
        <v>11</v>
      </c>
    </row>
    <row r="264" spans="1:9" x14ac:dyDescent="0.3">
      <c r="A264" t="s">
        <v>101</v>
      </c>
      <c r="B264" t="str">
        <f>VLOOKUP(Table1[[#This Row],[Calling Node]],Nodes!A:B,2,0)</f>
        <v>construct_PR_query_with_wizard</v>
      </c>
      <c r="C264" t="s">
        <v>123</v>
      </c>
      <c r="D264" t="str">
        <f>VLOOKUP(Table1[[#This Row],[Called Node]],Nodes!A:B,2,0)</f>
        <v>query_database</v>
      </c>
      <c r="E264" s="3" t="str">
        <f>Table1[[#This Row],[Calling Node]]&amp;" -&gt; "&amp;Table1[[#This Row],[Called Node]]</f>
        <v>construct_PR_query_with_wizard -&gt; query_database</v>
      </c>
      <c r="F264">
        <f>VLOOKUP(Table1[[#This Row],[Calling Node]],Nodes!A:D,4,0)</f>
        <v>21</v>
      </c>
      <c r="G264">
        <f>VLOOKUP(Table1[[#This Row],[Calling Node]],Nodes!A:E,5,0)</f>
        <v>9</v>
      </c>
      <c r="H264">
        <f>VLOOKUP(Table1[[#This Row],[Called Node]],Nodes!A:D,4,0)</f>
        <v>22</v>
      </c>
      <c r="I264">
        <f>VLOOKUP(Table1[[#This Row],[Called Node]],Nodes!A:E,5,0)</f>
        <v>17</v>
      </c>
    </row>
    <row r="265" spans="1:9" x14ac:dyDescent="0.3">
      <c r="A265" t="s">
        <v>101</v>
      </c>
      <c r="B265" t="str">
        <f>VLOOKUP(Table1[[#This Row],[Calling Node]],Nodes!A:B,2,0)</f>
        <v>construct_PR_query_with_wizard</v>
      </c>
      <c r="C265" t="s">
        <v>135</v>
      </c>
      <c r="D265" t="str">
        <f>VLOOKUP(Table1[[#This Row],[Called Node]],Nodes!A:B,2,0)</f>
        <v>file_extensions_and_mimetypes</v>
      </c>
      <c r="E265" s="3" t="str">
        <f>Table1[[#This Row],[Calling Node]]&amp;" -&gt; "&amp;Table1[[#This Row],[Called Node]]</f>
        <v>construct_PR_query_with_wizard -&gt; file_extensions_and_mimetypes</v>
      </c>
      <c r="F265">
        <f>VLOOKUP(Table1[[#This Row],[Calling Node]],Nodes!A:D,4,0)</f>
        <v>21</v>
      </c>
      <c r="G265">
        <f>VLOOKUP(Table1[[#This Row],[Calling Node]],Nodes!A:E,5,0)</f>
        <v>9</v>
      </c>
      <c r="H265">
        <f>VLOOKUP(Table1[[#This Row],[Called Node]],Nodes!A:D,4,0)</f>
        <v>23</v>
      </c>
      <c r="I265">
        <f>VLOOKUP(Table1[[#This Row],[Called Node]],Nodes!A:E,5,0)</f>
        <v>1</v>
      </c>
    </row>
    <row r="266" spans="1:9" x14ac:dyDescent="0.3">
      <c r="A266" t="s">
        <v>101</v>
      </c>
      <c r="B266" t="str">
        <f>VLOOKUP(Table1[[#This Row],[Calling Node]],Nodes!A:B,2,0)</f>
        <v>construct_PR_query_with_wizard</v>
      </c>
      <c r="C266" t="s">
        <v>142</v>
      </c>
      <c r="D266" t="str">
        <f>VLOOKUP(Table1[[#This Row],[Called Node]],Nodes!A:B,2,0)</f>
        <v>Flask_error_statement</v>
      </c>
      <c r="E266" s="3" t="str">
        <f>Table1[[#This Row],[Calling Node]]&amp;" -&gt; "&amp;Table1[[#This Row],[Called Node]]</f>
        <v>construct_PR_query_with_wizard -&gt; Flask_error_statement</v>
      </c>
      <c r="F266">
        <f>VLOOKUP(Table1[[#This Row],[Calling Node]],Nodes!A:D,4,0)</f>
        <v>21</v>
      </c>
      <c r="G266">
        <f>VLOOKUP(Table1[[#This Row],[Calling Node]],Nodes!A:E,5,0)</f>
        <v>9</v>
      </c>
      <c r="H266">
        <f>VLOOKUP(Table1[[#This Row],[Called Node]],Nodes!A:D,4,0)</f>
        <v>23</v>
      </c>
      <c r="I266">
        <f>VLOOKUP(Table1[[#This Row],[Called Node]],Nodes!A:E,5,0)</f>
        <v>8</v>
      </c>
    </row>
    <row r="267" spans="1:9" x14ac:dyDescent="0.3">
      <c r="A267" t="s">
        <v>101</v>
      </c>
      <c r="B267" t="str">
        <f>VLOOKUP(Table1[[#This Row],[Calling Node]],Nodes!A:B,2,0)</f>
        <v>construct_PR_query_with_wizard</v>
      </c>
      <c r="C267" t="s">
        <v>144</v>
      </c>
      <c r="D267" t="str">
        <f>VLOOKUP(Table1[[#This Row],[Called Node]],Nodes!A:B,2,0)</f>
        <v>list_folder_contents_statement</v>
      </c>
      <c r="E267" s="3" t="str">
        <f>Table1[[#This Row],[Calling Node]]&amp;" -&gt; "&amp;Table1[[#This Row],[Called Node]]</f>
        <v>construct_PR_query_with_wizard -&gt; list_folder_contents_statement</v>
      </c>
      <c r="F267">
        <f>VLOOKUP(Table1[[#This Row],[Calling Node]],Nodes!A:D,4,0)</f>
        <v>21</v>
      </c>
      <c r="G267">
        <f>VLOOKUP(Table1[[#This Row],[Calling Node]],Nodes!A:E,5,0)</f>
        <v>9</v>
      </c>
      <c r="H267">
        <f>VLOOKUP(Table1[[#This Row],[Called Node]],Nodes!A:D,4,0)</f>
        <v>23</v>
      </c>
      <c r="I267">
        <f>VLOOKUP(Table1[[#This Row],[Called Node]],Nodes!A:E,5,0)</f>
        <v>10</v>
      </c>
    </row>
    <row r="268" spans="1:9" x14ac:dyDescent="0.3">
      <c r="A268" t="s">
        <v>101</v>
      </c>
      <c r="B268" t="str">
        <f>VLOOKUP(Table1[[#This Row],[Calling Node]],Nodes!A:B,2,0)</f>
        <v>construct_PR_query_with_wizard</v>
      </c>
      <c r="C268" t="s">
        <v>145</v>
      </c>
      <c r="D268" t="str">
        <f>VLOOKUP(Table1[[#This Row],[Called Node]],Nodes!A:B,2,0)</f>
        <v>check_if_file_exists_statement</v>
      </c>
      <c r="E268" s="3" t="str">
        <f>Table1[[#This Row],[Calling Node]]&amp;" -&gt; "&amp;Table1[[#This Row],[Called Node]]</f>
        <v>construct_PR_query_with_wizard -&gt; check_if_file_exists_statement</v>
      </c>
      <c r="F268">
        <f>VLOOKUP(Table1[[#This Row],[Calling Node]],Nodes!A:D,4,0)</f>
        <v>21</v>
      </c>
      <c r="G268">
        <f>VLOOKUP(Table1[[#This Row],[Calling Node]],Nodes!A:E,5,0)</f>
        <v>9</v>
      </c>
      <c r="H268">
        <f>VLOOKUP(Table1[[#This Row],[Called Node]],Nodes!A:D,4,0)</f>
        <v>23</v>
      </c>
      <c r="I268">
        <f>VLOOKUP(Table1[[#This Row],[Called Node]],Nodes!A:E,5,0)</f>
        <v>11</v>
      </c>
    </row>
    <row r="269" spans="1:9" x14ac:dyDescent="0.3">
      <c r="A269" t="s">
        <v>101</v>
      </c>
      <c r="B269" t="str">
        <f>VLOOKUP(Table1[[#This Row],[Calling Node]],Nodes!A:B,2,0)</f>
        <v>construct_PR_query_with_wizard</v>
      </c>
      <c r="C269" t="s">
        <v>152</v>
      </c>
      <c r="D269" t="str">
        <f>VLOOKUP(Table1[[#This Row],[Called Node]],Nodes!A:B,2,0)</f>
        <v>database_query_fail_statement</v>
      </c>
      <c r="E269" s="3" t="str">
        <f>Table1[[#This Row],[Calling Node]]&amp;" -&gt; "&amp;Table1[[#This Row],[Called Node]]</f>
        <v>construct_PR_query_with_wizard -&gt; database_query_fail_statement</v>
      </c>
      <c r="F269">
        <f>VLOOKUP(Table1[[#This Row],[Calling Node]],Nodes!A:D,4,0)</f>
        <v>21</v>
      </c>
      <c r="G269">
        <f>VLOOKUP(Table1[[#This Row],[Calling Node]],Nodes!A:E,5,0)</f>
        <v>9</v>
      </c>
      <c r="H269">
        <f>VLOOKUP(Table1[[#This Row],[Called Node]],Nodes!A:D,4,0)</f>
        <v>23</v>
      </c>
      <c r="I269">
        <f>VLOOKUP(Table1[[#This Row],[Called Node]],Nodes!A:E,5,0)</f>
        <v>18</v>
      </c>
    </row>
    <row r="270" spans="1:9" x14ac:dyDescent="0.3">
      <c r="A270" t="s">
        <v>102</v>
      </c>
      <c r="B270" t="str">
        <f>VLOOKUP(Table1[[#This Row],[Calling Node]],Nodes!A:B,2,0)</f>
        <v>construct_DR_query_with_wizard</v>
      </c>
      <c r="C270" t="s">
        <v>93</v>
      </c>
      <c r="D270" t="str">
        <f>VLOOKUP(Table1[[#This Row],[Called Node]],Nodes!A:B,2,0)</f>
        <v>create_COUNTER_fixed_vocab_list</v>
      </c>
      <c r="E270" s="3" t="str">
        <f>Table1[[#This Row],[Calling Node]]&amp;" -&gt; "&amp;Table1[[#This Row],[Called Node]]</f>
        <v>construct_DR_query_with_wizard -&gt; create_COUNTER_fixed_vocab_list</v>
      </c>
      <c r="F270">
        <f>VLOOKUP(Table1[[#This Row],[Calling Node]],Nodes!A:D,4,0)</f>
        <v>21</v>
      </c>
      <c r="G270">
        <f>VLOOKUP(Table1[[#This Row],[Calling Node]],Nodes!A:E,5,0)</f>
        <v>10</v>
      </c>
      <c r="H270">
        <f>VLOOKUP(Table1[[#This Row],[Called Node]],Nodes!A:D,4,0)</f>
        <v>21</v>
      </c>
      <c r="I270">
        <f>VLOOKUP(Table1[[#This Row],[Called Node]],Nodes!A:E,5,0)</f>
        <v>1</v>
      </c>
    </row>
    <row r="271" spans="1:9" x14ac:dyDescent="0.3">
      <c r="A271" t="s">
        <v>102</v>
      </c>
      <c r="B271" t="str">
        <f>VLOOKUP(Table1[[#This Row],[Calling Node]],Nodes!A:B,2,0)</f>
        <v>construct_DR_query_with_wizard</v>
      </c>
      <c r="C271" t="s">
        <v>94</v>
      </c>
      <c r="D271" t="str">
        <f>VLOOKUP(Table1[[#This Row],[Called Node]],Nodes!A:B,2,0)</f>
        <v>set_encoding</v>
      </c>
      <c r="E271" s="3" t="str">
        <f>Table1[[#This Row],[Calling Node]]&amp;" -&gt; "&amp;Table1[[#This Row],[Called Node]]</f>
        <v>construct_DR_query_with_wizard -&gt; set_encoding</v>
      </c>
      <c r="F271">
        <f>VLOOKUP(Table1[[#This Row],[Calling Node]],Nodes!A:D,4,0)</f>
        <v>21</v>
      </c>
      <c r="G271">
        <f>VLOOKUP(Table1[[#This Row],[Calling Node]],Nodes!A:E,5,0)</f>
        <v>10</v>
      </c>
      <c r="H271">
        <f>VLOOKUP(Table1[[#This Row],[Called Node]],Nodes!A:D,4,0)</f>
        <v>21</v>
      </c>
      <c r="I271">
        <f>VLOOKUP(Table1[[#This Row],[Called Node]],Nodes!A:E,5,0)</f>
        <v>2</v>
      </c>
    </row>
    <row r="272" spans="1:9" x14ac:dyDescent="0.3">
      <c r="A272" t="s">
        <v>102</v>
      </c>
      <c r="B272" t="str">
        <f>VLOOKUP(Table1[[#This Row],[Calling Node]],Nodes!A:B,2,0)</f>
        <v>construct_DR_query_with_wizard</v>
      </c>
      <c r="C272" t="s">
        <v>95</v>
      </c>
      <c r="D272" t="str">
        <f>VLOOKUP(Table1[[#This Row],[Called Node]],Nodes!A:B,2,0)</f>
        <v>create_downloads_folder</v>
      </c>
      <c r="E272" s="3" t="str">
        <f>Table1[[#This Row],[Calling Node]]&amp;" -&gt; "&amp;Table1[[#This Row],[Called Node]]</f>
        <v>construct_DR_query_with_wizard -&gt; create_downloads_folder</v>
      </c>
      <c r="F272">
        <f>VLOOKUP(Table1[[#This Row],[Calling Node]],Nodes!A:D,4,0)</f>
        <v>21</v>
      </c>
      <c r="G272">
        <f>VLOOKUP(Table1[[#This Row],[Calling Node]],Nodes!A:E,5,0)</f>
        <v>10</v>
      </c>
      <c r="H272">
        <f>VLOOKUP(Table1[[#This Row],[Called Node]],Nodes!A:D,4,0)</f>
        <v>21</v>
      </c>
      <c r="I272">
        <f>VLOOKUP(Table1[[#This Row],[Called Node]],Nodes!A:E,5,0)</f>
        <v>3</v>
      </c>
    </row>
    <row r="273" spans="1:9" x14ac:dyDescent="0.3">
      <c r="A273" t="s">
        <v>102</v>
      </c>
      <c r="B273" t="str">
        <f>VLOOKUP(Table1[[#This Row],[Calling Node]],Nodes!A:B,2,0)</f>
        <v>construct_DR_query_with_wizard</v>
      </c>
      <c r="C273" t="s">
        <v>96</v>
      </c>
      <c r="D273" t="str">
        <f>VLOOKUP(Table1[[#This Row],[Called Node]],Nodes!A:B,2,0)</f>
        <v>view_usage_homepage</v>
      </c>
      <c r="E273" s="3" t="str">
        <f>Table1[[#This Row],[Calling Node]]&amp;" -&gt; "&amp;Table1[[#This Row],[Called Node]]</f>
        <v>construct_DR_query_with_wizard -&gt; view_usage_homepage</v>
      </c>
      <c r="F273">
        <f>VLOOKUP(Table1[[#This Row],[Calling Node]],Nodes!A:D,4,0)</f>
        <v>21</v>
      </c>
      <c r="G273">
        <f>VLOOKUP(Table1[[#This Row],[Calling Node]],Nodes!A:E,5,0)</f>
        <v>10</v>
      </c>
      <c r="H273">
        <f>VLOOKUP(Table1[[#This Row],[Called Node]],Nodes!A:D,4,0)</f>
        <v>21</v>
      </c>
      <c r="I273">
        <f>VLOOKUP(Table1[[#This Row],[Called Node]],Nodes!A:E,5,0)</f>
        <v>4</v>
      </c>
    </row>
    <row r="274" spans="1:9" x14ac:dyDescent="0.3">
      <c r="A274" t="s">
        <v>102</v>
      </c>
      <c r="B274" t="str">
        <f>VLOOKUP(Table1[[#This Row],[Calling Node]],Nodes!A:B,2,0)</f>
        <v>construct_DR_query_with_wizard</v>
      </c>
      <c r="C274" t="s">
        <v>117</v>
      </c>
      <c r="D274" t="str">
        <f>VLOOKUP(Table1[[#This Row],[Called Node]],Nodes!A:B,2,0)</f>
        <v>return_string_of_dataframe_info</v>
      </c>
      <c r="E274" s="3" t="str">
        <f>Table1[[#This Row],[Calling Node]]&amp;" -&gt; "&amp;Table1[[#This Row],[Called Node]]</f>
        <v>construct_DR_query_with_wizard -&gt; return_string_of_dataframe_info</v>
      </c>
      <c r="F274">
        <f>VLOOKUP(Table1[[#This Row],[Calling Node]],Nodes!A:D,4,0)</f>
        <v>21</v>
      </c>
      <c r="G274">
        <f>VLOOKUP(Table1[[#This Row],[Calling Node]],Nodes!A:E,5,0)</f>
        <v>10</v>
      </c>
      <c r="H274">
        <f>VLOOKUP(Table1[[#This Row],[Called Node]],Nodes!A:D,4,0)</f>
        <v>22</v>
      </c>
      <c r="I274">
        <f>VLOOKUP(Table1[[#This Row],[Called Node]],Nodes!A:E,5,0)</f>
        <v>11</v>
      </c>
    </row>
    <row r="275" spans="1:9" x14ac:dyDescent="0.3">
      <c r="A275" t="s">
        <v>102</v>
      </c>
      <c r="B275" t="str">
        <f>VLOOKUP(Table1[[#This Row],[Calling Node]],Nodes!A:B,2,0)</f>
        <v>construct_DR_query_with_wizard</v>
      </c>
      <c r="C275" t="s">
        <v>123</v>
      </c>
      <c r="D275" t="str">
        <f>VLOOKUP(Table1[[#This Row],[Called Node]],Nodes!A:B,2,0)</f>
        <v>query_database</v>
      </c>
      <c r="E275" s="3" t="str">
        <f>Table1[[#This Row],[Calling Node]]&amp;" -&gt; "&amp;Table1[[#This Row],[Called Node]]</f>
        <v>construct_DR_query_with_wizard -&gt; query_database</v>
      </c>
      <c r="F275">
        <f>VLOOKUP(Table1[[#This Row],[Calling Node]],Nodes!A:D,4,0)</f>
        <v>21</v>
      </c>
      <c r="G275">
        <f>VLOOKUP(Table1[[#This Row],[Calling Node]],Nodes!A:E,5,0)</f>
        <v>10</v>
      </c>
      <c r="H275">
        <f>VLOOKUP(Table1[[#This Row],[Called Node]],Nodes!A:D,4,0)</f>
        <v>22</v>
      </c>
      <c r="I275">
        <f>VLOOKUP(Table1[[#This Row],[Called Node]],Nodes!A:E,5,0)</f>
        <v>17</v>
      </c>
    </row>
    <row r="276" spans="1:9" x14ac:dyDescent="0.3">
      <c r="A276" t="s">
        <v>102</v>
      </c>
      <c r="B276" t="str">
        <f>VLOOKUP(Table1[[#This Row],[Calling Node]],Nodes!A:B,2,0)</f>
        <v>construct_DR_query_with_wizard</v>
      </c>
      <c r="C276" t="s">
        <v>135</v>
      </c>
      <c r="D276" t="str">
        <f>VLOOKUP(Table1[[#This Row],[Called Node]],Nodes!A:B,2,0)</f>
        <v>file_extensions_and_mimetypes</v>
      </c>
      <c r="E276" s="3" t="str">
        <f>Table1[[#This Row],[Calling Node]]&amp;" -&gt; "&amp;Table1[[#This Row],[Called Node]]</f>
        <v>construct_DR_query_with_wizard -&gt; file_extensions_and_mimetypes</v>
      </c>
      <c r="F276">
        <f>VLOOKUP(Table1[[#This Row],[Calling Node]],Nodes!A:D,4,0)</f>
        <v>21</v>
      </c>
      <c r="G276">
        <f>VLOOKUP(Table1[[#This Row],[Calling Node]],Nodes!A:E,5,0)</f>
        <v>10</v>
      </c>
      <c r="H276">
        <f>VLOOKUP(Table1[[#This Row],[Called Node]],Nodes!A:D,4,0)</f>
        <v>23</v>
      </c>
      <c r="I276">
        <f>VLOOKUP(Table1[[#This Row],[Called Node]],Nodes!A:E,5,0)</f>
        <v>1</v>
      </c>
    </row>
    <row r="277" spans="1:9" x14ac:dyDescent="0.3">
      <c r="A277" t="s">
        <v>102</v>
      </c>
      <c r="B277" t="str">
        <f>VLOOKUP(Table1[[#This Row],[Calling Node]],Nodes!A:B,2,0)</f>
        <v>construct_DR_query_with_wizard</v>
      </c>
      <c r="C277" t="s">
        <v>142</v>
      </c>
      <c r="D277" t="str">
        <f>VLOOKUP(Table1[[#This Row],[Called Node]],Nodes!A:B,2,0)</f>
        <v>Flask_error_statement</v>
      </c>
      <c r="E277" s="3" t="str">
        <f>Table1[[#This Row],[Calling Node]]&amp;" -&gt; "&amp;Table1[[#This Row],[Called Node]]</f>
        <v>construct_DR_query_with_wizard -&gt; Flask_error_statement</v>
      </c>
      <c r="F277">
        <f>VLOOKUP(Table1[[#This Row],[Calling Node]],Nodes!A:D,4,0)</f>
        <v>21</v>
      </c>
      <c r="G277">
        <f>VLOOKUP(Table1[[#This Row],[Calling Node]],Nodes!A:E,5,0)</f>
        <v>10</v>
      </c>
      <c r="H277">
        <f>VLOOKUP(Table1[[#This Row],[Called Node]],Nodes!A:D,4,0)</f>
        <v>23</v>
      </c>
      <c r="I277">
        <f>VLOOKUP(Table1[[#This Row],[Called Node]],Nodes!A:E,5,0)</f>
        <v>8</v>
      </c>
    </row>
    <row r="278" spans="1:9" x14ac:dyDescent="0.3">
      <c r="A278" t="s">
        <v>102</v>
      </c>
      <c r="B278" t="str">
        <f>VLOOKUP(Table1[[#This Row],[Calling Node]],Nodes!A:B,2,0)</f>
        <v>construct_DR_query_with_wizard</v>
      </c>
      <c r="C278" t="s">
        <v>144</v>
      </c>
      <c r="D278" t="str">
        <f>VLOOKUP(Table1[[#This Row],[Called Node]],Nodes!A:B,2,0)</f>
        <v>list_folder_contents_statement</v>
      </c>
      <c r="E278" s="3" t="str">
        <f>Table1[[#This Row],[Calling Node]]&amp;" -&gt; "&amp;Table1[[#This Row],[Called Node]]</f>
        <v>construct_DR_query_with_wizard -&gt; list_folder_contents_statement</v>
      </c>
      <c r="F278">
        <f>VLOOKUP(Table1[[#This Row],[Calling Node]],Nodes!A:D,4,0)</f>
        <v>21</v>
      </c>
      <c r="G278">
        <f>VLOOKUP(Table1[[#This Row],[Calling Node]],Nodes!A:E,5,0)</f>
        <v>10</v>
      </c>
      <c r="H278">
        <f>VLOOKUP(Table1[[#This Row],[Called Node]],Nodes!A:D,4,0)</f>
        <v>23</v>
      </c>
      <c r="I278">
        <f>VLOOKUP(Table1[[#This Row],[Called Node]],Nodes!A:E,5,0)</f>
        <v>10</v>
      </c>
    </row>
    <row r="279" spans="1:9" x14ac:dyDescent="0.3">
      <c r="A279" t="s">
        <v>102</v>
      </c>
      <c r="B279" t="str">
        <f>VLOOKUP(Table1[[#This Row],[Calling Node]],Nodes!A:B,2,0)</f>
        <v>construct_DR_query_with_wizard</v>
      </c>
      <c r="C279" t="s">
        <v>145</v>
      </c>
      <c r="D279" t="str">
        <f>VLOOKUP(Table1[[#This Row],[Called Node]],Nodes!A:B,2,0)</f>
        <v>check_if_file_exists_statement</v>
      </c>
      <c r="E279" s="3" t="str">
        <f>Table1[[#This Row],[Calling Node]]&amp;" -&gt; "&amp;Table1[[#This Row],[Called Node]]</f>
        <v>construct_DR_query_with_wizard -&gt; check_if_file_exists_statement</v>
      </c>
      <c r="F279">
        <f>VLOOKUP(Table1[[#This Row],[Calling Node]],Nodes!A:D,4,0)</f>
        <v>21</v>
      </c>
      <c r="G279">
        <f>VLOOKUP(Table1[[#This Row],[Calling Node]],Nodes!A:E,5,0)</f>
        <v>10</v>
      </c>
      <c r="H279">
        <f>VLOOKUP(Table1[[#This Row],[Called Node]],Nodes!A:D,4,0)</f>
        <v>23</v>
      </c>
      <c r="I279">
        <f>VLOOKUP(Table1[[#This Row],[Called Node]],Nodes!A:E,5,0)</f>
        <v>11</v>
      </c>
    </row>
    <row r="280" spans="1:9" x14ac:dyDescent="0.3">
      <c r="A280" t="s">
        <v>102</v>
      </c>
      <c r="B280" t="str">
        <f>VLOOKUP(Table1[[#This Row],[Calling Node]],Nodes!A:B,2,0)</f>
        <v>construct_DR_query_with_wizard</v>
      </c>
      <c r="C280" t="s">
        <v>152</v>
      </c>
      <c r="D280" t="str">
        <f>VLOOKUP(Table1[[#This Row],[Called Node]],Nodes!A:B,2,0)</f>
        <v>database_query_fail_statement</v>
      </c>
      <c r="E280" s="3" t="str">
        <f>Table1[[#This Row],[Calling Node]]&amp;" -&gt; "&amp;Table1[[#This Row],[Called Node]]</f>
        <v>construct_DR_query_with_wizard -&gt; database_query_fail_statement</v>
      </c>
      <c r="F280">
        <f>VLOOKUP(Table1[[#This Row],[Calling Node]],Nodes!A:D,4,0)</f>
        <v>21</v>
      </c>
      <c r="G280">
        <f>VLOOKUP(Table1[[#This Row],[Calling Node]],Nodes!A:E,5,0)</f>
        <v>10</v>
      </c>
      <c r="H280">
        <f>VLOOKUP(Table1[[#This Row],[Called Node]],Nodes!A:D,4,0)</f>
        <v>23</v>
      </c>
      <c r="I280">
        <f>VLOOKUP(Table1[[#This Row],[Called Node]],Nodes!A:E,5,0)</f>
        <v>18</v>
      </c>
    </row>
    <row r="281" spans="1:9" x14ac:dyDescent="0.3">
      <c r="A281" t="s">
        <v>103</v>
      </c>
      <c r="B281" t="str">
        <f>VLOOKUP(Table1[[#This Row],[Calling Node]],Nodes!A:B,2,0)</f>
        <v>construct_TR_query_with_wizard</v>
      </c>
      <c r="C281" t="s">
        <v>93</v>
      </c>
      <c r="D281" t="str">
        <f>VLOOKUP(Table1[[#This Row],[Called Node]],Nodes!A:B,2,0)</f>
        <v>create_COUNTER_fixed_vocab_list</v>
      </c>
      <c r="E281" s="3" t="str">
        <f>Table1[[#This Row],[Calling Node]]&amp;" -&gt; "&amp;Table1[[#This Row],[Called Node]]</f>
        <v>construct_TR_query_with_wizard -&gt; create_COUNTER_fixed_vocab_list</v>
      </c>
      <c r="F281">
        <f>VLOOKUP(Table1[[#This Row],[Calling Node]],Nodes!A:D,4,0)</f>
        <v>21</v>
      </c>
      <c r="G281">
        <f>VLOOKUP(Table1[[#This Row],[Calling Node]],Nodes!A:E,5,0)</f>
        <v>11</v>
      </c>
      <c r="H281">
        <f>VLOOKUP(Table1[[#This Row],[Called Node]],Nodes!A:D,4,0)</f>
        <v>21</v>
      </c>
      <c r="I281">
        <f>VLOOKUP(Table1[[#This Row],[Called Node]],Nodes!A:E,5,0)</f>
        <v>1</v>
      </c>
    </row>
    <row r="282" spans="1:9" x14ac:dyDescent="0.3">
      <c r="A282" t="s">
        <v>103</v>
      </c>
      <c r="B282" t="str">
        <f>VLOOKUP(Table1[[#This Row],[Calling Node]],Nodes!A:B,2,0)</f>
        <v>construct_TR_query_with_wizard</v>
      </c>
      <c r="C282" t="s">
        <v>94</v>
      </c>
      <c r="D282" t="str">
        <f>VLOOKUP(Table1[[#This Row],[Called Node]],Nodes!A:B,2,0)</f>
        <v>set_encoding</v>
      </c>
      <c r="E282" s="3" t="str">
        <f>Table1[[#This Row],[Calling Node]]&amp;" -&gt; "&amp;Table1[[#This Row],[Called Node]]</f>
        <v>construct_TR_query_with_wizard -&gt; set_encoding</v>
      </c>
      <c r="F282">
        <f>VLOOKUP(Table1[[#This Row],[Calling Node]],Nodes!A:D,4,0)</f>
        <v>21</v>
      </c>
      <c r="G282">
        <f>VLOOKUP(Table1[[#This Row],[Calling Node]],Nodes!A:E,5,0)</f>
        <v>11</v>
      </c>
      <c r="H282">
        <f>VLOOKUP(Table1[[#This Row],[Called Node]],Nodes!A:D,4,0)</f>
        <v>21</v>
      </c>
      <c r="I282">
        <f>VLOOKUP(Table1[[#This Row],[Called Node]],Nodes!A:E,5,0)</f>
        <v>2</v>
      </c>
    </row>
    <row r="283" spans="1:9" x14ac:dyDescent="0.3">
      <c r="A283" t="s">
        <v>103</v>
      </c>
      <c r="B283" t="str">
        <f>VLOOKUP(Table1[[#This Row],[Calling Node]],Nodes!A:B,2,0)</f>
        <v>construct_TR_query_with_wizard</v>
      </c>
      <c r="C283" t="s">
        <v>95</v>
      </c>
      <c r="D283" t="str">
        <f>VLOOKUP(Table1[[#This Row],[Called Node]],Nodes!A:B,2,0)</f>
        <v>create_downloads_folder</v>
      </c>
      <c r="E283" s="3" t="str">
        <f>Table1[[#This Row],[Calling Node]]&amp;" -&gt; "&amp;Table1[[#This Row],[Called Node]]</f>
        <v>construct_TR_query_with_wizard -&gt; create_downloads_folder</v>
      </c>
      <c r="F283">
        <f>VLOOKUP(Table1[[#This Row],[Calling Node]],Nodes!A:D,4,0)</f>
        <v>21</v>
      </c>
      <c r="G283">
        <f>VLOOKUP(Table1[[#This Row],[Calling Node]],Nodes!A:E,5,0)</f>
        <v>11</v>
      </c>
      <c r="H283">
        <f>VLOOKUP(Table1[[#This Row],[Called Node]],Nodes!A:D,4,0)</f>
        <v>21</v>
      </c>
      <c r="I283">
        <f>VLOOKUP(Table1[[#This Row],[Called Node]],Nodes!A:E,5,0)</f>
        <v>3</v>
      </c>
    </row>
    <row r="284" spans="1:9" x14ac:dyDescent="0.3">
      <c r="A284" t="s">
        <v>103</v>
      </c>
      <c r="B284" t="str">
        <f>VLOOKUP(Table1[[#This Row],[Calling Node]],Nodes!A:B,2,0)</f>
        <v>construct_TR_query_with_wizard</v>
      </c>
      <c r="C284" t="s">
        <v>96</v>
      </c>
      <c r="D284" t="str">
        <f>VLOOKUP(Table1[[#This Row],[Called Node]],Nodes!A:B,2,0)</f>
        <v>view_usage_homepage</v>
      </c>
      <c r="E284" s="3" t="str">
        <f>Table1[[#This Row],[Calling Node]]&amp;" -&gt; "&amp;Table1[[#This Row],[Called Node]]</f>
        <v>construct_TR_query_with_wizard -&gt; view_usage_homepage</v>
      </c>
      <c r="F284">
        <f>VLOOKUP(Table1[[#This Row],[Calling Node]],Nodes!A:D,4,0)</f>
        <v>21</v>
      </c>
      <c r="G284">
        <f>VLOOKUP(Table1[[#This Row],[Calling Node]],Nodes!A:E,5,0)</f>
        <v>11</v>
      </c>
      <c r="H284">
        <f>VLOOKUP(Table1[[#This Row],[Called Node]],Nodes!A:D,4,0)</f>
        <v>21</v>
      </c>
      <c r="I284">
        <f>VLOOKUP(Table1[[#This Row],[Called Node]],Nodes!A:E,5,0)</f>
        <v>4</v>
      </c>
    </row>
    <row r="285" spans="1:9" x14ac:dyDescent="0.3">
      <c r="A285" t="s">
        <v>103</v>
      </c>
      <c r="B285" t="str">
        <f>VLOOKUP(Table1[[#This Row],[Calling Node]],Nodes!A:B,2,0)</f>
        <v>construct_TR_query_with_wizard</v>
      </c>
      <c r="C285" t="s">
        <v>117</v>
      </c>
      <c r="D285" t="str">
        <f>VLOOKUP(Table1[[#This Row],[Called Node]],Nodes!A:B,2,0)</f>
        <v>return_string_of_dataframe_info</v>
      </c>
      <c r="E285" s="3" t="str">
        <f>Table1[[#This Row],[Calling Node]]&amp;" -&gt; "&amp;Table1[[#This Row],[Called Node]]</f>
        <v>construct_TR_query_with_wizard -&gt; return_string_of_dataframe_info</v>
      </c>
      <c r="F285">
        <f>VLOOKUP(Table1[[#This Row],[Calling Node]],Nodes!A:D,4,0)</f>
        <v>21</v>
      </c>
      <c r="G285">
        <f>VLOOKUP(Table1[[#This Row],[Calling Node]],Nodes!A:E,5,0)</f>
        <v>11</v>
      </c>
      <c r="H285">
        <f>VLOOKUP(Table1[[#This Row],[Called Node]],Nodes!A:D,4,0)</f>
        <v>22</v>
      </c>
      <c r="I285">
        <f>VLOOKUP(Table1[[#This Row],[Called Node]],Nodes!A:E,5,0)</f>
        <v>11</v>
      </c>
    </row>
    <row r="286" spans="1:9" x14ac:dyDescent="0.3">
      <c r="A286" t="s">
        <v>103</v>
      </c>
      <c r="B286" t="str">
        <f>VLOOKUP(Table1[[#This Row],[Calling Node]],Nodes!A:B,2,0)</f>
        <v>construct_TR_query_with_wizard</v>
      </c>
      <c r="C286" t="s">
        <v>123</v>
      </c>
      <c r="D286" t="str">
        <f>VLOOKUP(Table1[[#This Row],[Called Node]],Nodes!A:B,2,0)</f>
        <v>query_database</v>
      </c>
      <c r="E286" s="3" t="str">
        <f>Table1[[#This Row],[Calling Node]]&amp;" -&gt; "&amp;Table1[[#This Row],[Called Node]]</f>
        <v>construct_TR_query_with_wizard -&gt; query_database</v>
      </c>
      <c r="F286">
        <f>VLOOKUP(Table1[[#This Row],[Calling Node]],Nodes!A:D,4,0)</f>
        <v>21</v>
      </c>
      <c r="G286">
        <f>VLOOKUP(Table1[[#This Row],[Calling Node]],Nodes!A:E,5,0)</f>
        <v>11</v>
      </c>
      <c r="H286">
        <f>VLOOKUP(Table1[[#This Row],[Called Node]],Nodes!A:D,4,0)</f>
        <v>22</v>
      </c>
      <c r="I286">
        <f>VLOOKUP(Table1[[#This Row],[Called Node]],Nodes!A:E,5,0)</f>
        <v>17</v>
      </c>
    </row>
    <row r="287" spans="1:9" x14ac:dyDescent="0.3">
      <c r="A287" t="s">
        <v>103</v>
      </c>
      <c r="B287" t="str">
        <f>VLOOKUP(Table1[[#This Row],[Calling Node]],Nodes!A:B,2,0)</f>
        <v>construct_TR_query_with_wizard</v>
      </c>
      <c r="C287" t="s">
        <v>135</v>
      </c>
      <c r="D287" t="str">
        <f>VLOOKUP(Table1[[#This Row],[Called Node]],Nodes!A:B,2,0)</f>
        <v>file_extensions_and_mimetypes</v>
      </c>
      <c r="E287" s="3" t="str">
        <f>Table1[[#This Row],[Calling Node]]&amp;" -&gt; "&amp;Table1[[#This Row],[Called Node]]</f>
        <v>construct_TR_query_with_wizard -&gt; file_extensions_and_mimetypes</v>
      </c>
      <c r="F287">
        <f>VLOOKUP(Table1[[#This Row],[Calling Node]],Nodes!A:D,4,0)</f>
        <v>21</v>
      </c>
      <c r="G287">
        <f>VLOOKUP(Table1[[#This Row],[Calling Node]],Nodes!A:E,5,0)</f>
        <v>11</v>
      </c>
      <c r="H287">
        <f>VLOOKUP(Table1[[#This Row],[Called Node]],Nodes!A:D,4,0)</f>
        <v>23</v>
      </c>
      <c r="I287">
        <f>VLOOKUP(Table1[[#This Row],[Called Node]],Nodes!A:E,5,0)</f>
        <v>1</v>
      </c>
    </row>
    <row r="288" spans="1:9" x14ac:dyDescent="0.3">
      <c r="A288" t="s">
        <v>103</v>
      </c>
      <c r="B288" t="str">
        <f>VLOOKUP(Table1[[#This Row],[Calling Node]],Nodes!A:B,2,0)</f>
        <v>construct_TR_query_with_wizard</v>
      </c>
      <c r="C288" t="s">
        <v>142</v>
      </c>
      <c r="D288" t="str">
        <f>VLOOKUP(Table1[[#This Row],[Called Node]],Nodes!A:B,2,0)</f>
        <v>Flask_error_statement</v>
      </c>
      <c r="E288" s="3" t="str">
        <f>Table1[[#This Row],[Calling Node]]&amp;" -&gt; "&amp;Table1[[#This Row],[Called Node]]</f>
        <v>construct_TR_query_with_wizard -&gt; Flask_error_statement</v>
      </c>
      <c r="F288">
        <f>VLOOKUP(Table1[[#This Row],[Calling Node]],Nodes!A:D,4,0)</f>
        <v>21</v>
      </c>
      <c r="G288">
        <f>VLOOKUP(Table1[[#This Row],[Calling Node]],Nodes!A:E,5,0)</f>
        <v>11</v>
      </c>
      <c r="H288">
        <f>VLOOKUP(Table1[[#This Row],[Called Node]],Nodes!A:D,4,0)</f>
        <v>23</v>
      </c>
      <c r="I288">
        <f>VLOOKUP(Table1[[#This Row],[Called Node]],Nodes!A:E,5,0)</f>
        <v>8</v>
      </c>
    </row>
    <row r="289" spans="1:9" x14ac:dyDescent="0.3">
      <c r="A289" t="s">
        <v>103</v>
      </c>
      <c r="B289" t="str">
        <f>VLOOKUP(Table1[[#This Row],[Calling Node]],Nodes!A:B,2,0)</f>
        <v>construct_TR_query_with_wizard</v>
      </c>
      <c r="C289" t="s">
        <v>144</v>
      </c>
      <c r="D289" t="str">
        <f>VLOOKUP(Table1[[#This Row],[Called Node]],Nodes!A:B,2,0)</f>
        <v>list_folder_contents_statement</v>
      </c>
      <c r="E289" s="3" t="str">
        <f>Table1[[#This Row],[Calling Node]]&amp;" -&gt; "&amp;Table1[[#This Row],[Called Node]]</f>
        <v>construct_TR_query_with_wizard -&gt; list_folder_contents_statement</v>
      </c>
      <c r="F289">
        <f>VLOOKUP(Table1[[#This Row],[Calling Node]],Nodes!A:D,4,0)</f>
        <v>21</v>
      </c>
      <c r="G289">
        <f>VLOOKUP(Table1[[#This Row],[Calling Node]],Nodes!A:E,5,0)</f>
        <v>11</v>
      </c>
      <c r="H289">
        <f>VLOOKUP(Table1[[#This Row],[Called Node]],Nodes!A:D,4,0)</f>
        <v>23</v>
      </c>
      <c r="I289">
        <f>VLOOKUP(Table1[[#This Row],[Called Node]],Nodes!A:E,5,0)</f>
        <v>10</v>
      </c>
    </row>
    <row r="290" spans="1:9" x14ac:dyDescent="0.3">
      <c r="A290" t="s">
        <v>103</v>
      </c>
      <c r="B290" t="str">
        <f>VLOOKUP(Table1[[#This Row],[Calling Node]],Nodes!A:B,2,0)</f>
        <v>construct_TR_query_with_wizard</v>
      </c>
      <c r="C290" t="s">
        <v>145</v>
      </c>
      <c r="D290" t="str">
        <f>VLOOKUP(Table1[[#This Row],[Called Node]],Nodes!A:B,2,0)</f>
        <v>check_if_file_exists_statement</v>
      </c>
      <c r="E290" s="3" t="str">
        <f>Table1[[#This Row],[Calling Node]]&amp;" -&gt; "&amp;Table1[[#This Row],[Called Node]]</f>
        <v>construct_TR_query_with_wizard -&gt; check_if_file_exists_statement</v>
      </c>
      <c r="F290">
        <f>VLOOKUP(Table1[[#This Row],[Calling Node]],Nodes!A:D,4,0)</f>
        <v>21</v>
      </c>
      <c r="G290">
        <f>VLOOKUP(Table1[[#This Row],[Calling Node]],Nodes!A:E,5,0)</f>
        <v>11</v>
      </c>
      <c r="H290">
        <f>VLOOKUP(Table1[[#This Row],[Called Node]],Nodes!A:D,4,0)</f>
        <v>23</v>
      </c>
      <c r="I290">
        <f>VLOOKUP(Table1[[#This Row],[Called Node]],Nodes!A:E,5,0)</f>
        <v>11</v>
      </c>
    </row>
    <row r="291" spans="1:9" x14ac:dyDescent="0.3">
      <c r="A291" t="s">
        <v>103</v>
      </c>
      <c r="B291" t="str">
        <f>VLOOKUP(Table1[[#This Row],[Calling Node]],Nodes!A:B,2,0)</f>
        <v>construct_TR_query_with_wizard</v>
      </c>
      <c r="C291" t="s">
        <v>152</v>
      </c>
      <c r="D291" t="str">
        <f>VLOOKUP(Table1[[#This Row],[Called Node]],Nodes!A:B,2,0)</f>
        <v>database_query_fail_statement</v>
      </c>
      <c r="E291" s="3" t="str">
        <f>Table1[[#This Row],[Calling Node]]&amp;" -&gt; "&amp;Table1[[#This Row],[Called Node]]</f>
        <v>construct_TR_query_with_wizard -&gt; database_query_fail_statement</v>
      </c>
      <c r="F291">
        <f>VLOOKUP(Table1[[#This Row],[Calling Node]],Nodes!A:D,4,0)</f>
        <v>21</v>
      </c>
      <c r="G291">
        <f>VLOOKUP(Table1[[#This Row],[Calling Node]],Nodes!A:E,5,0)</f>
        <v>11</v>
      </c>
      <c r="H291">
        <f>VLOOKUP(Table1[[#This Row],[Called Node]],Nodes!A:D,4,0)</f>
        <v>23</v>
      </c>
      <c r="I291">
        <f>VLOOKUP(Table1[[#This Row],[Called Node]],Nodes!A:E,5,0)</f>
        <v>18</v>
      </c>
    </row>
    <row r="292" spans="1:9" x14ac:dyDescent="0.3">
      <c r="A292" t="s">
        <v>104</v>
      </c>
      <c r="B292" t="str">
        <f>VLOOKUP(Table1[[#This Row],[Calling Node]],Nodes!A:B,2,0)</f>
        <v>construct_IR_query_with_wizard</v>
      </c>
      <c r="C292" t="s">
        <v>93</v>
      </c>
      <c r="D292" t="str">
        <f>VLOOKUP(Table1[[#This Row],[Called Node]],Nodes!A:B,2,0)</f>
        <v>create_COUNTER_fixed_vocab_list</v>
      </c>
      <c r="E292" s="3" t="str">
        <f>Table1[[#This Row],[Calling Node]]&amp;" -&gt; "&amp;Table1[[#This Row],[Called Node]]</f>
        <v>construct_IR_query_with_wizard -&gt; create_COUNTER_fixed_vocab_list</v>
      </c>
      <c r="F292">
        <f>VLOOKUP(Table1[[#This Row],[Calling Node]],Nodes!A:D,4,0)</f>
        <v>21</v>
      </c>
      <c r="G292">
        <f>VLOOKUP(Table1[[#This Row],[Calling Node]],Nodes!A:E,5,0)</f>
        <v>12</v>
      </c>
      <c r="H292">
        <f>VLOOKUP(Table1[[#This Row],[Called Node]],Nodes!A:D,4,0)</f>
        <v>21</v>
      </c>
      <c r="I292">
        <f>VLOOKUP(Table1[[#This Row],[Called Node]],Nodes!A:E,5,0)</f>
        <v>1</v>
      </c>
    </row>
    <row r="293" spans="1:9" x14ac:dyDescent="0.3">
      <c r="A293" t="s">
        <v>104</v>
      </c>
      <c r="B293" t="str">
        <f>VLOOKUP(Table1[[#This Row],[Calling Node]],Nodes!A:B,2,0)</f>
        <v>construct_IR_query_with_wizard</v>
      </c>
      <c r="C293" t="s">
        <v>94</v>
      </c>
      <c r="D293" t="str">
        <f>VLOOKUP(Table1[[#This Row],[Called Node]],Nodes!A:B,2,0)</f>
        <v>set_encoding</v>
      </c>
      <c r="E293" s="3" t="str">
        <f>Table1[[#This Row],[Calling Node]]&amp;" -&gt; "&amp;Table1[[#This Row],[Called Node]]</f>
        <v>construct_IR_query_with_wizard -&gt; set_encoding</v>
      </c>
      <c r="F293">
        <f>VLOOKUP(Table1[[#This Row],[Calling Node]],Nodes!A:D,4,0)</f>
        <v>21</v>
      </c>
      <c r="G293">
        <f>VLOOKUP(Table1[[#This Row],[Calling Node]],Nodes!A:E,5,0)</f>
        <v>12</v>
      </c>
      <c r="H293">
        <f>VLOOKUP(Table1[[#This Row],[Called Node]],Nodes!A:D,4,0)</f>
        <v>21</v>
      </c>
      <c r="I293">
        <f>VLOOKUP(Table1[[#This Row],[Called Node]],Nodes!A:E,5,0)</f>
        <v>2</v>
      </c>
    </row>
    <row r="294" spans="1:9" x14ac:dyDescent="0.3">
      <c r="A294" t="s">
        <v>104</v>
      </c>
      <c r="B294" t="str">
        <f>VLOOKUP(Table1[[#This Row],[Calling Node]],Nodes!A:B,2,0)</f>
        <v>construct_IR_query_with_wizard</v>
      </c>
      <c r="C294" t="s">
        <v>95</v>
      </c>
      <c r="D294" t="str">
        <f>VLOOKUP(Table1[[#This Row],[Called Node]],Nodes!A:B,2,0)</f>
        <v>create_downloads_folder</v>
      </c>
      <c r="E294" s="3" t="str">
        <f>Table1[[#This Row],[Calling Node]]&amp;" -&gt; "&amp;Table1[[#This Row],[Called Node]]</f>
        <v>construct_IR_query_with_wizard -&gt; create_downloads_folder</v>
      </c>
      <c r="F294">
        <f>VLOOKUP(Table1[[#This Row],[Calling Node]],Nodes!A:D,4,0)</f>
        <v>21</v>
      </c>
      <c r="G294">
        <f>VLOOKUP(Table1[[#This Row],[Calling Node]],Nodes!A:E,5,0)</f>
        <v>12</v>
      </c>
      <c r="H294">
        <f>VLOOKUP(Table1[[#This Row],[Called Node]],Nodes!A:D,4,0)</f>
        <v>21</v>
      </c>
      <c r="I294">
        <f>VLOOKUP(Table1[[#This Row],[Called Node]],Nodes!A:E,5,0)</f>
        <v>3</v>
      </c>
    </row>
    <row r="295" spans="1:9" x14ac:dyDescent="0.3">
      <c r="A295" t="s">
        <v>104</v>
      </c>
      <c r="B295" t="str">
        <f>VLOOKUP(Table1[[#This Row],[Calling Node]],Nodes!A:B,2,0)</f>
        <v>construct_IR_query_with_wizard</v>
      </c>
      <c r="C295" t="s">
        <v>96</v>
      </c>
      <c r="D295" t="str">
        <f>VLOOKUP(Table1[[#This Row],[Called Node]],Nodes!A:B,2,0)</f>
        <v>view_usage_homepage</v>
      </c>
      <c r="E295" s="3" t="str">
        <f>Table1[[#This Row],[Calling Node]]&amp;" -&gt; "&amp;Table1[[#This Row],[Called Node]]</f>
        <v>construct_IR_query_with_wizard -&gt; view_usage_homepage</v>
      </c>
      <c r="F295">
        <f>VLOOKUP(Table1[[#This Row],[Calling Node]],Nodes!A:D,4,0)</f>
        <v>21</v>
      </c>
      <c r="G295">
        <f>VLOOKUP(Table1[[#This Row],[Calling Node]],Nodes!A:E,5,0)</f>
        <v>12</v>
      </c>
      <c r="H295">
        <f>VLOOKUP(Table1[[#This Row],[Called Node]],Nodes!A:D,4,0)</f>
        <v>21</v>
      </c>
      <c r="I295">
        <f>VLOOKUP(Table1[[#This Row],[Called Node]],Nodes!A:E,5,0)</f>
        <v>4</v>
      </c>
    </row>
    <row r="296" spans="1:9" x14ac:dyDescent="0.3">
      <c r="A296" t="s">
        <v>104</v>
      </c>
      <c r="B296" t="str">
        <f>VLOOKUP(Table1[[#This Row],[Calling Node]],Nodes!A:B,2,0)</f>
        <v>construct_IR_query_with_wizard</v>
      </c>
      <c r="C296" t="s">
        <v>117</v>
      </c>
      <c r="D296" t="str">
        <f>VLOOKUP(Table1[[#This Row],[Called Node]],Nodes!A:B,2,0)</f>
        <v>return_string_of_dataframe_info</v>
      </c>
      <c r="E296" s="3" t="str">
        <f>Table1[[#This Row],[Calling Node]]&amp;" -&gt; "&amp;Table1[[#This Row],[Called Node]]</f>
        <v>construct_IR_query_with_wizard -&gt; return_string_of_dataframe_info</v>
      </c>
      <c r="F296">
        <f>VLOOKUP(Table1[[#This Row],[Calling Node]],Nodes!A:D,4,0)</f>
        <v>21</v>
      </c>
      <c r="G296">
        <f>VLOOKUP(Table1[[#This Row],[Calling Node]],Nodes!A:E,5,0)</f>
        <v>12</v>
      </c>
      <c r="H296">
        <f>VLOOKUP(Table1[[#This Row],[Called Node]],Nodes!A:D,4,0)</f>
        <v>22</v>
      </c>
      <c r="I296">
        <f>VLOOKUP(Table1[[#This Row],[Called Node]],Nodes!A:E,5,0)</f>
        <v>11</v>
      </c>
    </row>
    <row r="297" spans="1:9" x14ac:dyDescent="0.3">
      <c r="A297" t="s">
        <v>104</v>
      </c>
      <c r="B297" t="str">
        <f>VLOOKUP(Table1[[#This Row],[Calling Node]],Nodes!A:B,2,0)</f>
        <v>construct_IR_query_with_wizard</v>
      </c>
      <c r="C297" t="s">
        <v>123</v>
      </c>
      <c r="D297" t="str">
        <f>VLOOKUP(Table1[[#This Row],[Called Node]],Nodes!A:B,2,0)</f>
        <v>query_database</v>
      </c>
      <c r="E297" s="3" t="str">
        <f>Table1[[#This Row],[Calling Node]]&amp;" -&gt; "&amp;Table1[[#This Row],[Called Node]]</f>
        <v>construct_IR_query_with_wizard -&gt; query_database</v>
      </c>
      <c r="F297">
        <f>VLOOKUP(Table1[[#This Row],[Calling Node]],Nodes!A:D,4,0)</f>
        <v>21</v>
      </c>
      <c r="G297">
        <f>VLOOKUP(Table1[[#This Row],[Calling Node]],Nodes!A:E,5,0)</f>
        <v>12</v>
      </c>
      <c r="H297">
        <f>VLOOKUP(Table1[[#This Row],[Called Node]],Nodes!A:D,4,0)</f>
        <v>22</v>
      </c>
      <c r="I297">
        <f>VLOOKUP(Table1[[#This Row],[Called Node]],Nodes!A:E,5,0)</f>
        <v>17</v>
      </c>
    </row>
    <row r="298" spans="1:9" x14ac:dyDescent="0.3">
      <c r="A298" t="s">
        <v>104</v>
      </c>
      <c r="B298" t="str">
        <f>VLOOKUP(Table1[[#This Row],[Calling Node]],Nodes!A:B,2,0)</f>
        <v>construct_IR_query_with_wizard</v>
      </c>
      <c r="C298" t="s">
        <v>135</v>
      </c>
      <c r="D298" t="str">
        <f>VLOOKUP(Table1[[#This Row],[Called Node]],Nodes!A:B,2,0)</f>
        <v>file_extensions_and_mimetypes</v>
      </c>
      <c r="E298" s="3" t="str">
        <f>Table1[[#This Row],[Calling Node]]&amp;" -&gt; "&amp;Table1[[#This Row],[Called Node]]</f>
        <v>construct_IR_query_with_wizard -&gt; file_extensions_and_mimetypes</v>
      </c>
      <c r="F298">
        <f>VLOOKUP(Table1[[#This Row],[Calling Node]],Nodes!A:D,4,0)</f>
        <v>21</v>
      </c>
      <c r="G298">
        <f>VLOOKUP(Table1[[#This Row],[Calling Node]],Nodes!A:E,5,0)</f>
        <v>12</v>
      </c>
      <c r="H298">
        <f>VLOOKUP(Table1[[#This Row],[Called Node]],Nodes!A:D,4,0)</f>
        <v>23</v>
      </c>
      <c r="I298">
        <f>VLOOKUP(Table1[[#This Row],[Called Node]],Nodes!A:E,5,0)</f>
        <v>1</v>
      </c>
    </row>
    <row r="299" spans="1:9" x14ac:dyDescent="0.3">
      <c r="A299" t="s">
        <v>104</v>
      </c>
      <c r="B299" t="str">
        <f>VLOOKUP(Table1[[#This Row],[Calling Node]],Nodes!A:B,2,0)</f>
        <v>construct_IR_query_with_wizard</v>
      </c>
      <c r="C299" t="s">
        <v>142</v>
      </c>
      <c r="D299" t="str">
        <f>VLOOKUP(Table1[[#This Row],[Called Node]],Nodes!A:B,2,0)</f>
        <v>Flask_error_statement</v>
      </c>
      <c r="E299" s="3" t="str">
        <f>Table1[[#This Row],[Calling Node]]&amp;" -&gt; "&amp;Table1[[#This Row],[Called Node]]</f>
        <v>construct_IR_query_with_wizard -&gt; Flask_error_statement</v>
      </c>
      <c r="F299">
        <f>VLOOKUP(Table1[[#This Row],[Calling Node]],Nodes!A:D,4,0)</f>
        <v>21</v>
      </c>
      <c r="G299">
        <f>VLOOKUP(Table1[[#This Row],[Calling Node]],Nodes!A:E,5,0)</f>
        <v>12</v>
      </c>
      <c r="H299">
        <f>VLOOKUP(Table1[[#This Row],[Called Node]],Nodes!A:D,4,0)</f>
        <v>23</v>
      </c>
      <c r="I299">
        <f>VLOOKUP(Table1[[#This Row],[Called Node]],Nodes!A:E,5,0)</f>
        <v>8</v>
      </c>
    </row>
    <row r="300" spans="1:9" x14ac:dyDescent="0.3">
      <c r="A300" t="s">
        <v>104</v>
      </c>
      <c r="B300" t="str">
        <f>VLOOKUP(Table1[[#This Row],[Calling Node]],Nodes!A:B,2,0)</f>
        <v>construct_IR_query_with_wizard</v>
      </c>
      <c r="C300" t="s">
        <v>144</v>
      </c>
      <c r="D300" t="str">
        <f>VLOOKUP(Table1[[#This Row],[Called Node]],Nodes!A:B,2,0)</f>
        <v>list_folder_contents_statement</v>
      </c>
      <c r="E300" s="3" t="str">
        <f>Table1[[#This Row],[Calling Node]]&amp;" -&gt; "&amp;Table1[[#This Row],[Called Node]]</f>
        <v>construct_IR_query_with_wizard -&gt; list_folder_contents_statement</v>
      </c>
      <c r="F300">
        <f>VLOOKUP(Table1[[#This Row],[Calling Node]],Nodes!A:D,4,0)</f>
        <v>21</v>
      </c>
      <c r="G300">
        <f>VLOOKUP(Table1[[#This Row],[Calling Node]],Nodes!A:E,5,0)</f>
        <v>12</v>
      </c>
      <c r="H300">
        <f>VLOOKUP(Table1[[#This Row],[Called Node]],Nodes!A:D,4,0)</f>
        <v>23</v>
      </c>
      <c r="I300">
        <f>VLOOKUP(Table1[[#This Row],[Called Node]],Nodes!A:E,5,0)</f>
        <v>10</v>
      </c>
    </row>
    <row r="301" spans="1:9" x14ac:dyDescent="0.3">
      <c r="A301" t="s">
        <v>104</v>
      </c>
      <c r="B301" t="str">
        <f>VLOOKUP(Table1[[#This Row],[Calling Node]],Nodes!A:B,2,0)</f>
        <v>construct_IR_query_with_wizard</v>
      </c>
      <c r="C301" t="s">
        <v>145</v>
      </c>
      <c r="D301" t="str">
        <f>VLOOKUP(Table1[[#This Row],[Called Node]],Nodes!A:B,2,0)</f>
        <v>check_if_file_exists_statement</v>
      </c>
      <c r="E301" s="3" t="str">
        <f>Table1[[#This Row],[Calling Node]]&amp;" -&gt; "&amp;Table1[[#This Row],[Called Node]]</f>
        <v>construct_IR_query_with_wizard -&gt; check_if_file_exists_statement</v>
      </c>
      <c r="F301">
        <f>VLOOKUP(Table1[[#This Row],[Calling Node]],Nodes!A:D,4,0)</f>
        <v>21</v>
      </c>
      <c r="G301">
        <f>VLOOKUP(Table1[[#This Row],[Calling Node]],Nodes!A:E,5,0)</f>
        <v>12</v>
      </c>
      <c r="H301">
        <f>VLOOKUP(Table1[[#This Row],[Called Node]],Nodes!A:D,4,0)</f>
        <v>23</v>
      </c>
      <c r="I301">
        <f>VLOOKUP(Table1[[#This Row],[Called Node]],Nodes!A:E,5,0)</f>
        <v>11</v>
      </c>
    </row>
    <row r="302" spans="1:9" x14ac:dyDescent="0.3">
      <c r="A302" t="s">
        <v>104</v>
      </c>
      <c r="B302" t="str">
        <f>VLOOKUP(Table1[[#This Row],[Calling Node]],Nodes!A:B,2,0)</f>
        <v>construct_IR_query_with_wizard</v>
      </c>
      <c r="C302" t="s">
        <v>152</v>
      </c>
      <c r="D302" t="str">
        <f>VLOOKUP(Table1[[#This Row],[Called Node]],Nodes!A:B,2,0)</f>
        <v>database_query_fail_statement</v>
      </c>
      <c r="E302" s="3" t="str">
        <f>Table1[[#This Row],[Calling Node]]&amp;" -&gt; "&amp;Table1[[#This Row],[Called Node]]</f>
        <v>construct_IR_query_with_wizard -&gt; database_query_fail_statement</v>
      </c>
      <c r="F302">
        <f>VLOOKUP(Table1[[#This Row],[Calling Node]],Nodes!A:D,4,0)</f>
        <v>21</v>
      </c>
      <c r="G302">
        <f>VLOOKUP(Table1[[#This Row],[Calling Node]],Nodes!A:E,5,0)</f>
        <v>12</v>
      </c>
      <c r="H302">
        <f>VLOOKUP(Table1[[#This Row],[Called Node]],Nodes!A:D,4,0)</f>
        <v>23</v>
      </c>
      <c r="I302">
        <f>VLOOKUP(Table1[[#This Row],[Called Node]],Nodes!A:E,5,0)</f>
        <v>18</v>
      </c>
    </row>
    <row r="303" spans="1:9" x14ac:dyDescent="0.3">
      <c r="A303" t="s">
        <v>105</v>
      </c>
      <c r="B303" t="str">
        <f>VLOOKUP(Table1[[#This Row],[Calling Node]],Nodes!A:B,2,0)</f>
        <v>download_non_COUNTER_usage</v>
      </c>
      <c r="C303" t="s">
        <v>50</v>
      </c>
      <c r="D303" s="2" t="str">
        <f>VLOOKUP(Table1[[#This Row],[Called Node]],Nodes!A:B,2,0)</f>
        <v>state_data_types</v>
      </c>
      <c r="E303" s="3" t="str">
        <f>Table1[[#This Row],[Calling Node]]&amp;" -&gt; "&amp;Table1[[#This Row],[Called Node]]</f>
        <v>download_non_COUNTER_usage -&gt; state_data_types_in_annualUsageCollectionTracking</v>
      </c>
      <c r="F303">
        <f>VLOOKUP(Table1[[#This Row],[Calling Node]],Nodes!A:D,4,0)</f>
        <v>21</v>
      </c>
      <c r="G303">
        <f>VLOOKUP(Table1[[#This Row],[Calling Node]],Nodes!A:E,5,0)</f>
        <v>13</v>
      </c>
      <c r="H303">
        <f>VLOOKUP(Table1[[#This Row],[Called Node]],Nodes!A:D,4,0)</f>
        <v>11</v>
      </c>
      <c r="I303">
        <f>VLOOKUP(Table1[[#This Row],[Called Node]],Nodes!A:E,5,0)</f>
        <v>1</v>
      </c>
    </row>
    <row r="304" spans="1:9" x14ac:dyDescent="0.3">
      <c r="A304" t="s">
        <v>105</v>
      </c>
      <c r="B304" t="str">
        <f>VLOOKUP(Table1[[#This Row],[Calling Node]],Nodes!A:B,2,0)</f>
        <v>download_non_COUNTER_usage</v>
      </c>
      <c r="C304" t="s">
        <v>53</v>
      </c>
      <c r="D304" t="str">
        <f>VLOOKUP(Table1[[#This Row],[Called Node]],Nodes!A:B,2,0)</f>
        <v>download_nonstandard_usage_file</v>
      </c>
      <c r="E304" s="3" t="str">
        <f>Table1[[#This Row],[Calling Node]]&amp;" -&gt; "&amp;Table1[[#This Row],[Called Node]]</f>
        <v>download_non_COUNTER_usage -&gt; download_nonstandard_usage_file</v>
      </c>
      <c r="F304">
        <f>VLOOKUP(Table1[[#This Row],[Calling Node]],Nodes!A:D,4,0)</f>
        <v>21</v>
      </c>
      <c r="G304">
        <f>VLOOKUP(Table1[[#This Row],[Calling Node]],Nodes!A:E,5,0)</f>
        <v>13</v>
      </c>
      <c r="H304">
        <f>VLOOKUP(Table1[[#This Row],[Called Node]],Nodes!A:D,4,0)</f>
        <v>11</v>
      </c>
      <c r="I304">
        <f>VLOOKUP(Table1[[#This Row],[Called Node]],Nodes!A:E,5,0)</f>
        <v>4</v>
      </c>
    </row>
    <row r="305" spans="1:9" x14ac:dyDescent="0.3">
      <c r="A305" t="s">
        <v>105</v>
      </c>
      <c r="B305" t="str">
        <f>VLOOKUP(Table1[[#This Row],[Calling Node]],Nodes!A:B,2,0)</f>
        <v>download_non_COUNTER_usage</v>
      </c>
      <c r="C305" t="s">
        <v>95</v>
      </c>
      <c r="D305" t="str">
        <f>VLOOKUP(Table1[[#This Row],[Called Node]],Nodes!A:B,2,0)</f>
        <v>create_downloads_folder</v>
      </c>
      <c r="E305" s="3" t="str">
        <f>Table1[[#This Row],[Calling Node]]&amp;" -&gt; "&amp;Table1[[#This Row],[Called Node]]</f>
        <v>download_non_COUNTER_usage -&gt; create_downloads_folder</v>
      </c>
      <c r="F305">
        <f>VLOOKUP(Table1[[#This Row],[Calling Node]],Nodes!A:D,4,0)</f>
        <v>21</v>
      </c>
      <c r="G305">
        <f>VLOOKUP(Table1[[#This Row],[Calling Node]],Nodes!A:E,5,0)</f>
        <v>13</v>
      </c>
      <c r="H305">
        <f>VLOOKUP(Table1[[#This Row],[Called Node]],Nodes!A:D,4,0)</f>
        <v>21</v>
      </c>
      <c r="I305">
        <f>VLOOKUP(Table1[[#This Row],[Called Node]],Nodes!A:E,5,0)</f>
        <v>3</v>
      </c>
    </row>
    <row r="306" spans="1:9" x14ac:dyDescent="0.3">
      <c r="A306" t="s">
        <v>105</v>
      </c>
      <c r="B306" t="str">
        <f>VLOOKUP(Table1[[#This Row],[Calling Node]],Nodes!A:B,2,0)</f>
        <v>download_non_COUNTER_usage</v>
      </c>
      <c r="C306" t="s">
        <v>96</v>
      </c>
      <c r="D306" t="str">
        <f>VLOOKUP(Table1[[#This Row],[Called Node]],Nodes!A:B,2,0)</f>
        <v>view_usage_homepage</v>
      </c>
      <c r="E306" s="3" t="str">
        <f>Table1[[#This Row],[Calling Node]]&amp;" -&gt; "&amp;Table1[[#This Row],[Called Node]]</f>
        <v>download_non_COUNTER_usage -&gt; view_usage_homepage</v>
      </c>
      <c r="F306">
        <f>VLOOKUP(Table1[[#This Row],[Calling Node]],Nodes!A:D,4,0)</f>
        <v>21</v>
      </c>
      <c r="G306">
        <f>VLOOKUP(Table1[[#This Row],[Calling Node]],Nodes!A:E,5,0)</f>
        <v>13</v>
      </c>
      <c r="H306">
        <f>VLOOKUP(Table1[[#This Row],[Called Node]],Nodes!A:D,4,0)</f>
        <v>21</v>
      </c>
      <c r="I306">
        <f>VLOOKUP(Table1[[#This Row],[Called Node]],Nodes!A:E,5,0)</f>
        <v>4</v>
      </c>
    </row>
    <row r="307" spans="1:9" x14ac:dyDescent="0.3">
      <c r="A307" t="s">
        <v>105</v>
      </c>
      <c r="B307" t="str">
        <f>VLOOKUP(Table1[[#This Row],[Calling Node]],Nodes!A:B,2,0)</f>
        <v>download_non_COUNTER_usage</v>
      </c>
      <c r="C307" t="s">
        <v>119</v>
      </c>
      <c r="D307" t="str">
        <f>VLOOKUP(Table1[[#This Row],[Called Node]],Nodes!A:B,2,0)</f>
        <v>restore_boolean_values_to_boolean_field</v>
      </c>
      <c r="E307" s="3" t="str">
        <f>Table1[[#This Row],[Calling Node]]&amp;" -&gt; "&amp;Table1[[#This Row],[Called Node]]</f>
        <v>download_non_COUNTER_usage -&gt; restore_boolean_values_to_boolean_field</v>
      </c>
      <c r="F307">
        <f>VLOOKUP(Table1[[#This Row],[Calling Node]],Nodes!A:D,4,0)</f>
        <v>21</v>
      </c>
      <c r="G307">
        <f>VLOOKUP(Table1[[#This Row],[Calling Node]],Nodes!A:E,5,0)</f>
        <v>13</v>
      </c>
      <c r="H307">
        <f>VLOOKUP(Table1[[#This Row],[Called Node]],Nodes!A:D,4,0)</f>
        <v>22</v>
      </c>
      <c r="I307">
        <f>VLOOKUP(Table1[[#This Row],[Called Node]],Nodes!A:E,5,0)</f>
        <v>13</v>
      </c>
    </row>
    <row r="308" spans="1:9" x14ac:dyDescent="0.3">
      <c r="A308" t="s">
        <v>105</v>
      </c>
      <c r="B308" t="str">
        <f>VLOOKUP(Table1[[#This Row],[Calling Node]],Nodes!A:B,2,0)</f>
        <v>download_non_COUNTER_usage</v>
      </c>
      <c r="C308" t="s">
        <v>121</v>
      </c>
      <c r="D308" t="str">
        <f>VLOOKUP(Table1[[#This Row],[Called Node]],Nodes!A:B,2,0)</f>
        <v>create_AUCT_SelectField_options</v>
      </c>
      <c r="E308" s="3" t="str">
        <f>Table1[[#This Row],[Calling Node]]&amp;" -&gt; "&amp;Table1[[#This Row],[Called Node]]</f>
        <v>download_non_COUNTER_usage -&gt; create_AUCT_SelectField_options</v>
      </c>
      <c r="F308">
        <f>VLOOKUP(Table1[[#This Row],[Calling Node]],Nodes!A:D,4,0)</f>
        <v>21</v>
      </c>
      <c r="G308">
        <f>VLOOKUP(Table1[[#This Row],[Calling Node]],Nodes!A:E,5,0)</f>
        <v>13</v>
      </c>
      <c r="H308">
        <f>VLOOKUP(Table1[[#This Row],[Called Node]],Nodes!A:D,4,0)</f>
        <v>22</v>
      </c>
      <c r="I308">
        <f>VLOOKUP(Table1[[#This Row],[Called Node]],Nodes!A:E,5,0)</f>
        <v>15</v>
      </c>
    </row>
    <row r="309" spans="1:9" x14ac:dyDescent="0.3">
      <c r="A309" t="s">
        <v>105</v>
      </c>
      <c r="B309" t="str">
        <f>VLOOKUP(Table1[[#This Row],[Calling Node]],Nodes!A:B,2,0)</f>
        <v>download_non_COUNTER_usage</v>
      </c>
      <c r="C309" t="s">
        <v>123</v>
      </c>
      <c r="D309" t="str">
        <f>VLOOKUP(Table1[[#This Row],[Called Node]],Nodes!A:B,2,0)</f>
        <v>query_database</v>
      </c>
      <c r="E309" s="3" t="str">
        <f>Table1[[#This Row],[Calling Node]]&amp;" -&gt; "&amp;Table1[[#This Row],[Called Node]]</f>
        <v>download_non_COUNTER_usage -&gt; query_database</v>
      </c>
      <c r="F309">
        <f>VLOOKUP(Table1[[#This Row],[Calling Node]],Nodes!A:D,4,0)</f>
        <v>21</v>
      </c>
      <c r="G309">
        <f>VLOOKUP(Table1[[#This Row],[Calling Node]],Nodes!A:E,5,0)</f>
        <v>13</v>
      </c>
      <c r="H309">
        <f>VLOOKUP(Table1[[#This Row],[Called Node]],Nodes!A:D,4,0)</f>
        <v>22</v>
      </c>
      <c r="I309">
        <f>VLOOKUP(Table1[[#This Row],[Called Node]],Nodes!A:E,5,0)</f>
        <v>17</v>
      </c>
    </row>
    <row r="310" spans="1:9" x14ac:dyDescent="0.3">
      <c r="A310" t="s">
        <v>105</v>
      </c>
      <c r="B310" t="str">
        <f>VLOOKUP(Table1[[#This Row],[Calling Node]],Nodes!A:B,2,0)</f>
        <v>download_non_COUNTER_usage</v>
      </c>
      <c r="C310" t="s">
        <v>132</v>
      </c>
      <c r="D310" t="str">
        <f>VLOOKUP(Table1[[#This Row],[Called Node]],Nodes!A:B,2,0)</f>
        <v>non_COUNTER_file_name_regex</v>
      </c>
      <c r="E310" s="3" t="str">
        <f>Table1[[#This Row],[Calling Node]]&amp;" -&gt; "&amp;Table1[[#This Row],[Called Node]]</f>
        <v>download_non_COUNTER_usage -&gt; non_COUNTER_file_name_regex</v>
      </c>
      <c r="F310">
        <f>VLOOKUP(Table1[[#This Row],[Calling Node]],Nodes!A:D,4,0)</f>
        <v>21</v>
      </c>
      <c r="G310">
        <f>VLOOKUP(Table1[[#This Row],[Calling Node]],Nodes!A:E,5,0)</f>
        <v>13</v>
      </c>
      <c r="H310">
        <f>VLOOKUP(Table1[[#This Row],[Called Node]],Nodes!A:D,4,0)</f>
        <v>22</v>
      </c>
      <c r="I310">
        <f>VLOOKUP(Table1[[#This Row],[Called Node]],Nodes!A:E,5,0)</f>
        <v>26</v>
      </c>
    </row>
    <row r="311" spans="1:9" x14ac:dyDescent="0.3">
      <c r="A311" t="s">
        <v>105</v>
      </c>
      <c r="B311" t="str">
        <f>VLOOKUP(Table1[[#This Row],[Calling Node]],Nodes!A:B,2,0)</f>
        <v>download_non_COUNTER_usage</v>
      </c>
      <c r="C311" t="s">
        <v>135</v>
      </c>
      <c r="D311" t="str">
        <f>VLOOKUP(Table1[[#This Row],[Called Node]],Nodes!A:B,2,0)</f>
        <v>file_extensions_and_mimetypes</v>
      </c>
      <c r="E311" s="3" t="str">
        <f>Table1[[#This Row],[Calling Node]]&amp;" -&gt; "&amp;Table1[[#This Row],[Called Node]]</f>
        <v>download_non_COUNTER_usage -&gt; file_extensions_and_mimetypes</v>
      </c>
      <c r="F311">
        <f>VLOOKUP(Table1[[#This Row],[Calling Node]],Nodes!A:D,4,0)</f>
        <v>21</v>
      </c>
      <c r="G311">
        <f>VLOOKUP(Table1[[#This Row],[Calling Node]],Nodes!A:E,5,0)</f>
        <v>13</v>
      </c>
      <c r="H311">
        <f>VLOOKUP(Table1[[#This Row],[Called Node]],Nodes!A:D,4,0)</f>
        <v>23</v>
      </c>
      <c r="I311">
        <f>VLOOKUP(Table1[[#This Row],[Called Node]],Nodes!A:E,5,0)</f>
        <v>1</v>
      </c>
    </row>
    <row r="312" spans="1:9" x14ac:dyDescent="0.3">
      <c r="A312" t="s">
        <v>105</v>
      </c>
      <c r="B312" t="str">
        <f>VLOOKUP(Table1[[#This Row],[Calling Node]],Nodes!A:B,2,0)</f>
        <v>download_non_COUNTER_usage</v>
      </c>
      <c r="C312" t="s">
        <v>142</v>
      </c>
      <c r="D312" t="str">
        <f>VLOOKUP(Table1[[#This Row],[Called Node]],Nodes!A:B,2,0)</f>
        <v>Flask_error_statement</v>
      </c>
      <c r="E312" s="3" t="str">
        <f>Table1[[#This Row],[Calling Node]]&amp;" -&gt; "&amp;Table1[[#This Row],[Called Node]]</f>
        <v>download_non_COUNTER_usage -&gt; Flask_error_statement</v>
      </c>
      <c r="F312">
        <f>VLOOKUP(Table1[[#This Row],[Calling Node]],Nodes!A:D,4,0)</f>
        <v>21</v>
      </c>
      <c r="G312">
        <f>VLOOKUP(Table1[[#This Row],[Calling Node]],Nodes!A:E,5,0)</f>
        <v>13</v>
      </c>
      <c r="H312">
        <f>VLOOKUP(Table1[[#This Row],[Called Node]],Nodes!A:D,4,0)</f>
        <v>23</v>
      </c>
      <c r="I312">
        <f>VLOOKUP(Table1[[#This Row],[Called Node]],Nodes!A:E,5,0)</f>
        <v>8</v>
      </c>
    </row>
    <row r="313" spans="1:9" x14ac:dyDescent="0.3">
      <c r="A313" t="s">
        <v>105</v>
      </c>
      <c r="B313" t="str">
        <f>VLOOKUP(Table1[[#This Row],[Calling Node]],Nodes!A:B,2,0)</f>
        <v>download_non_COUNTER_usage</v>
      </c>
      <c r="C313" t="s">
        <v>144</v>
      </c>
      <c r="D313" t="str">
        <f>VLOOKUP(Table1[[#This Row],[Called Node]],Nodes!A:B,2,0)</f>
        <v>list_folder_contents_statement</v>
      </c>
      <c r="E313" s="3" t="str">
        <f>Table1[[#This Row],[Calling Node]]&amp;" -&gt; "&amp;Table1[[#This Row],[Called Node]]</f>
        <v>download_non_COUNTER_usage -&gt; list_folder_contents_statement</v>
      </c>
      <c r="F313">
        <f>VLOOKUP(Table1[[#This Row],[Calling Node]],Nodes!A:D,4,0)</f>
        <v>21</v>
      </c>
      <c r="G313">
        <f>VLOOKUP(Table1[[#This Row],[Calling Node]],Nodes!A:E,5,0)</f>
        <v>13</v>
      </c>
      <c r="H313">
        <f>VLOOKUP(Table1[[#This Row],[Called Node]],Nodes!A:D,4,0)</f>
        <v>23</v>
      </c>
      <c r="I313">
        <f>VLOOKUP(Table1[[#This Row],[Called Node]],Nodes!A:E,5,0)</f>
        <v>10</v>
      </c>
    </row>
    <row r="314" spans="1:9" x14ac:dyDescent="0.3">
      <c r="A314" t="s">
        <v>105</v>
      </c>
      <c r="B314" t="str">
        <f>VLOOKUP(Table1[[#This Row],[Calling Node]],Nodes!A:B,2,0)</f>
        <v>download_non_COUNTER_usage</v>
      </c>
      <c r="C314" t="s">
        <v>145</v>
      </c>
      <c r="D314" t="str">
        <f>VLOOKUP(Table1[[#This Row],[Called Node]],Nodes!A:B,2,0)</f>
        <v>check_if_file_exists_statement</v>
      </c>
      <c r="E314" s="3" t="str">
        <f>Table1[[#This Row],[Calling Node]]&amp;" -&gt; "&amp;Table1[[#This Row],[Called Node]]</f>
        <v>download_non_COUNTER_usage -&gt; check_if_file_exists_statement</v>
      </c>
      <c r="F314">
        <f>VLOOKUP(Table1[[#This Row],[Calling Node]],Nodes!A:D,4,0)</f>
        <v>21</v>
      </c>
      <c r="G314">
        <f>VLOOKUP(Table1[[#This Row],[Calling Node]],Nodes!A:E,5,0)</f>
        <v>13</v>
      </c>
      <c r="H314">
        <f>VLOOKUP(Table1[[#This Row],[Called Node]],Nodes!A:D,4,0)</f>
        <v>23</v>
      </c>
      <c r="I314">
        <f>VLOOKUP(Table1[[#This Row],[Called Node]],Nodes!A:E,5,0)</f>
        <v>11</v>
      </c>
    </row>
    <row r="315" spans="1:9" x14ac:dyDescent="0.3">
      <c r="A315" t="s">
        <v>105</v>
      </c>
      <c r="B315" t="str">
        <f>VLOOKUP(Table1[[#This Row],[Calling Node]],Nodes!A:B,2,0)</f>
        <v>download_non_COUNTER_usage</v>
      </c>
      <c r="C315" t="s">
        <v>152</v>
      </c>
      <c r="D315" t="str">
        <f>VLOOKUP(Table1[[#This Row],[Called Node]],Nodes!A:B,2,0)</f>
        <v>database_query_fail_statement</v>
      </c>
      <c r="E315" s="3" t="str">
        <f>Table1[[#This Row],[Calling Node]]&amp;" -&gt; "&amp;Table1[[#This Row],[Called Node]]</f>
        <v>download_non_COUNTER_usage -&gt; database_query_fail_statement</v>
      </c>
      <c r="F315">
        <f>VLOOKUP(Table1[[#This Row],[Calling Node]],Nodes!A:D,4,0)</f>
        <v>21</v>
      </c>
      <c r="G315">
        <f>VLOOKUP(Table1[[#This Row],[Calling Node]],Nodes!A:E,5,0)</f>
        <v>13</v>
      </c>
      <c r="H315">
        <f>VLOOKUP(Table1[[#This Row],[Called Node]],Nodes!A:D,4,0)</f>
        <v>23</v>
      </c>
      <c r="I315">
        <f>VLOOKUP(Table1[[#This Row],[Called Node]],Nodes!A:E,5,0)</f>
        <v>18</v>
      </c>
    </row>
    <row r="316" spans="1:9" x14ac:dyDescent="0.3">
      <c r="A316" t="s">
        <v>107</v>
      </c>
      <c r="B316" t="str">
        <f>VLOOKUP(Table1[[#This Row],[Calling Node]],Nodes!A:B,2,0)</f>
        <v>filter_empty_parentheses</v>
      </c>
      <c r="C316" t="s">
        <v>137</v>
      </c>
      <c r="D316" t="str">
        <f>VLOOKUP(Table1[[#This Row],[Called Node]],Nodes!A:B,2,0)</f>
        <v>remove_IDE_spacing_from_statement</v>
      </c>
      <c r="E316" s="3" t="str">
        <f>Table1[[#This Row],[Calling Node]]&amp;" -&gt; "&amp;Table1[[#This Row],[Called Node]]</f>
        <v>filter_empty_parentheses -&gt; remove_IDE_spacing_from_statement</v>
      </c>
      <c r="F316">
        <f>VLOOKUP(Table1[[#This Row],[Calling Node]],Nodes!A:D,4,0)</f>
        <v>22</v>
      </c>
      <c r="G316">
        <f>VLOOKUP(Table1[[#This Row],[Calling Node]],Nodes!A:E,5,0)</f>
        <v>1</v>
      </c>
      <c r="H316">
        <f>VLOOKUP(Table1[[#This Row],[Called Node]],Nodes!A:D,4,0)</f>
        <v>23</v>
      </c>
      <c r="I316">
        <f>VLOOKUP(Table1[[#This Row],[Called Node]],Nodes!A:E,5,0)</f>
        <v>3</v>
      </c>
    </row>
    <row r="317" spans="1:9" x14ac:dyDescent="0.3">
      <c r="A317" t="s">
        <v>108</v>
      </c>
      <c r="B317" t="str">
        <f>VLOOKUP(Table1[[#This Row],[Calling Node]],Nodes!A:B,2,0)</f>
        <v>configure_logging</v>
      </c>
      <c r="C317" t="s">
        <v>107</v>
      </c>
      <c r="D317" t="str">
        <f>VLOOKUP(Table1[[#This Row],[Called Node]],Nodes!A:B,2,0)</f>
        <v>filter_empty_parentheses</v>
      </c>
      <c r="E317" s="3" t="str">
        <f>Table1[[#This Row],[Calling Node]]&amp;" -&gt; "&amp;Table1[[#This Row],[Called Node]]</f>
        <v>configure_logging -&gt; filter_empty_parentheses</v>
      </c>
      <c r="F317">
        <f>VLOOKUP(Table1[[#This Row],[Calling Node]],Nodes!A:D,4,0)</f>
        <v>22</v>
      </c>
      <c r="G317">
        <f>VLOOKUP(Table1[[#This Row],[Calling Node]],Nodes!A:E,5,0)</f>
        <v>2</v>
      </c>
      <c r="H317">
        <f>VLOOKUP(Table1[[#This Row],[Called Node]],Nodes!A:D,4,0)</f>
        <v>22</v>
      </c>
      <c r="I317">
        <f>VLOOKUP(Table1[[#This Row],[Called Node]],Nodes!A:E,5,0)</f>
        <v>1</v>
      </c>
    </row>
    <row r="318" spans="1:9" x14ac:dyDescent="0.3">
      <c r="A318" t="s">
        <v>111</v>
      </c>
      <c r="B318" t="str">
        <f>VLOOKUP(Table1[[#This Row],[Calling Node]],Nodes!A:B,2,0)</f>
        <v>create_app</v>
      </c>
      <c r="C318" t="s">
        <v>108</v>
      </c>
      <c r="D318" t="str">
        <f>VLOOKUP(Table1[[#This Row],[Called Node]],Nodes!A:B,2,0)</f>
        <v>configure_logging</v>
      </c>
      <c r="E318" s="3" t="str">
        <f>Table1[[#This Row],[Calling Node]]&amp;" -&gt; "&amp;Table1[[#This Row],[Called Node]]</f>
        <v>create_app -&gt; configure_logging</v>
      </c>
      <c r="F318">
        <f>VLOOKUP(Table1[[#This Row],[Calling Node]],Nodes!A:D,4,0)</f>
        <v>22</v>
      </c>
      <c r="G318">
        <f>VLOOKUP(Table1[[#This Row],[Calling Node]],Nodes!A:E,5,0)</f>
        <v>5</v>
      </c>
      <c r="H318">
        <f>VLOOKUP(Table1[[#This Row],[Called Node]],Nodes!A:D,4,0)</f>
        <v>22</v>
      </c>
      <c r="I318">
        <f>VLOOKUP(Table1[[#This Row],[Called Node]],Nodes!A:E,5,0)</f>
        <v>2</v>
      </c>
    </row>
    <row r="319" spans="1:9" x14ac:dyDescent="0.3">
      <c r="A319" t="s">
        <v>111</v>
      </c>
      <c r="B319" t="str">
        <f>VLOOKUP(Table1[[#This Row],[Calling Node]],Nodes!A:B,2,0)</f>
        <v>create_app</v>
      </c>
      <c r="C319" t="s">
        <v>109</v>
      </c>
      <c r="D319" t="str">
        <f>VLOOKUP(Table1[[#This Row],[Called Node]],Nodes!A:B,2,0)</f>
        <v>page_not_found</v>
      </c>
      <c r="E319" s="3" t="str">
        <f>Table1[[#This Row],[Calling Node]]&amp;" -&gt; "&amp;Table1[[#This Row],[Called Node]]</f>
        <v>create_app -&gt; page_not_found</v>
      </c>
      <c r="F319">
        <f>VLOOKUP(Table1[[#This Row],[Calling Node]],Nodes!A:D,4,0)</f>
        <v>22</v>
      </c>
      <c r="G319">
        <f>VLOOKUP(Table1[[#This Row],[Calling Node]],Nodes!A:E,5,0)</f>
        <v>5</v>
      </c>
      <c r="H319">
        <f>VLOOKUP(Table1[[#This Row],[Called Node]],Nodes!A:D,4,0)</f>
        <v>22</v>
      </c>
      <c r="I319">
        <f>VLOOKUP(Table1[[#This Row],[Called Node]],Nodes!A:E,5,0)</f>
        <v>3</v>
      </c>
    </row>
    <row r="320" spans="1:9" x14ac:dyDescent="0.3">
      <c r="A320" t="s">
        <v>111</v>
      </c>
      <c r="B320" t="str">
        <f>VLOOKUP(Table1[[#This Row],[Calling Node]],Nodes!A:B,2,0)</f>
        <v>create_app</v>
      </c>
      <c r="C320" t="s">
        <v>110</v>
      </c>
      <c r="D320" t="str">
        <f>VLOOKUP(Table1[[#This Row],[Called Node]],Nodes!A:B,2,0)</f>
        <v>internal_server_error</v>
      </c>
      <c r="E320" s="3" t="str">
        <f>Table1[[#This Row],[Calling Node]]&amp;" -&gt; "&amp;Table1[[#This Row],[Called Node]]</f>
        <v>create_app -&gt; internal_server_error</v>
      </c>
      <c r="F320">
        <f>VLOOKUP(Table1[[#This Row],[Calling Node]],Nodes!A:D,4,0)</f>
        <v>22</v>
      </c>
      <c r="G320">
        <f>VLOOKUP(Table1[[#This Row],[Calling Node]],Nodes!A:E,5,0)</f>
        <v>5</v>
      </c>
      <c r="H320">
        <f>VLOOKUP(Table1[[#This Row],[Called Node]],Nodes!A:D,4,0)</f>
        <v>22</v>
      </c>
      <c r="I320">
        <f>VLOOKUP(Table1[[#This Row],[Called Node]],Nodes!A:E,5,0)</f>
        <v>4</v>
      </c>
    </row>
    <row r="321" spans="1:9" x14ac:dyDescent="0.3">
      <c r="A321" t="s">
        <v>112</v>
      </c>
      <c r="B321" t="str">
        <f>VLOOKUP(Table1[[#This Row],[Calling Node]],Nodes!A:B,2,0)</f>
        <v>"create_app.create_db"</v>
      </c>
      <c r="C321" t="s">
        <v>111</v>
      </c>
      <c r="D321" t="str">
        <f>VLOOKUP(Table1[[#This Row],[Called Node]],Nodes!A:B,2,0)</f>
        <v>create_app</v>
      </c>
      <c r="E321" s="3" t="str">
        <f>Table1[[#This Row],[Calling Node]]&amp;" -&gt; "&amp;Table1[[#This Row],[Called Node]]</f>
        <v>"create_app.create_db" -&gt; create_app</v>
      </c>
      <c r="F321">
        <f>VLOOKUP(Table1[[#This Row],[Calling Node]],Nodes!A:D,4,0)</f>
        <v>22</v>
      </c>
      <c r="G321">
        <f>VLOOKUP(Table1[[#This Row],[Calling Node]],Nodes!A:E,5,0)</f>
        <v>6</v>
      </c>
      <c r="H321">
        <f>VLOOKUP(Table1[[#This Row],[Called Node]],Nodes!A:D,4,0)</f>
        <v>22</v>
      </c>
      <c r="I321">
        <f>VLOOKUP(Table1[[#This Row],[Called Node]],Nodes!A:E,5,0)</f>
        <v>5</v>
      </c>
    </row>
    <row r="322" spans="1:9" x14ac:dyDescent="0.3">
      <c r="A322" t="s">
        <v>114</v>
      </c>
      <c r="B322" t="str">
        <f>VLOOKUP(Table1[[#This Row],[Calling Node]],Nodes!A:B,2,0)</f>
        <v>"create_app.download_file"</v>
      </c>
      <c r="C322" t="s">
        <v>135</v>
      </c>
      <c r="D322" t="str">
        <f>VLOOKUP(Table1[[#This Row],[Called Node]],Nodes!A:B,2,0)</f>
        <v>file_extensions_and_mimetypes</v>
      </c>
      <c r="E322" s="3" t="str">
        <f>Table1[[#This Row],[Calling Node]]&amp;" -&gt; "&amp;Table1[[#This Row],[Called Node]]</f>
        <v>"create_app.download_file" -&gt; file_extensions_and_mimetypes</v>
      </c>
      <c r="F322">
        <f>VLOOKUP(Table1[[#This Row],[Calling Node]],Nodes!A:D,4,0)</f>
        <v>22</v>
      </c>
      <c r="G322">
        <f>VLOOKUP(Table1[[#This Row],[Calling Node]],Nodes!A:E,5,0)</f>
        <v>8</v>
      </c>
      <c r="H322">
        <f>VLOOKUP(Table1[[#This Row],[Called Node]],Nodes!A:D,4,0)</f>
        <v>23</v>
      </c>
      <c r="I322">
        <f>VLOOKUP(Table1[[#This Row],[Called Node]],Nodes!A:E,5,0)</f>
        <v>1</v>
      </c>
    </row>
    <row r="323" spans="1:9" x14ac:dyDescent="0.3">
      <c r="A323" t="s">
        <v>116</v>
      </c>
      <c r="B323" t="str">
        <f>VLOOKUP(Table1[[#This Row],[Calling Node]],Nodes!A:B,2,0)</f>
        <v>first_new_PK_value</v>
      </c>
      <c r="C323" t="s">
        <v>123</v>
      </c>
      <c r="D323" t="str">
        <f>VLOOKUP(Table1[[#This Row],[Called Node]],Nodes!A:B,2,0)</f>
        <v>query_database</v>
      </c>
      <c r="E323" s="3" t="str">
        <f>Table1[[#This Row],[Calling Node]]&amp;" -&gt; "&amp;Table1[[#This Row],[Called Node]]</f>
        <v>first_new_PK_value -&gt; query_database</v>
      </c>
      <c r="F323">
        <f>VLOOKUP(Table1[[#This Row],[Calling Node]],Nodes!A:D,4,0)</f>
        <v>22</v>
      </c>
      <c r="G323">
        <f>VLOOKUP(Table1[[#This Row],[Calling Node]],Nodes!A:E,5,0)</f>
        <v>10</v>
      </c>
      <c r="H323">
        <f>VLOOKUP(Table1[[#This Row],[Called Node]],Nodes!A:D,4,0)</f>
        <v>22</v>
      </c>
      <c r="I323">
        <f>VLOOKUP(Table1[[#This Row],[Called Node]],Nodes!A:E,5,0)</f>
        <v>17</v>
      </c>
    </row>
    <row r="324" spans="1:9" x14ac:dyDescent="0.3">
      <c r="A324" t="s">
        <v>116</v>
      </c>
      <c r="B324" t="str">
        <f>VLOOKUP(Table1[[#This Row],[Calling Node]],Nodes!A:B,2,0)</f>
        <v>first_new_PK_value</v>
      </c>
      <c r="C324" t="s">
        <v>130</v>
      </c>
      <c r="D324" t="str">
        <f>VLOOKUP(Table1[[#This Row],[Called Node]],Nodes!A:B,2,0)</f>
        <v>extract_value_from_single_value_df</v>
      </c>
      <c r="E324" s="3" t="str">
        <f>Table1[[#This Row],[Calling Node]]&amp;" -&gt; "&amp;Table1[[#This Row],[Called Node]]</f>
        <v>first_new_PK_value -&gt; extract_value_from_single_value_df</v>
      </c>
      <c r="F324">
        <f>VLOOKUP(Table1[[#This Row],[Calling Node]],Nodes!A:D,4,0)</f>
        <v>22</v>
      </c>
      <c r="G324">
        <f>VLOOKUP(Table1[[#This Row],[Calling Node]],Nodes!A:E,5,0)</f>
        <v>10</v>
      </c>
      <c r="H324">
        <f>VLOOKUP(Table1[[#This Row],[Called Node]],Nodes!A:D,4,0)</f>
        <v>22</v>
      </c>
      <c r="I324">
        <f>VLOOKUP(Table1[[#This Row],[Called Node]],Nodes!A:E,5,0)</f>
        <v>24</v>
      </c>
    </row>
    <row r="325" spans="1:9" x14ac:dyDescent="0.3">
      <c r="A325" t="s">
        <v>116</v>
      </c>
      <c r="B325" t="str">
        <f>VLOOKUP(Table1[[#This Row],[Calling Node]],Nodes!A:B,2,0)</f>
        <v>first_new_PK_value</v>
      </c>
      <c r="C325" t="s">
        <v>150</v>
      </c>
      <c r="D325" t="str">
        <f>VLOOKUP(Table1[[#This Row],[Called Node]],Nodes!A:B,2,0)</f>
        <v>return_value_from_query_statement</v>
      </c>
      <c r="E325" s="3" t="str">
        <f>Table1[[#This Row],[Calling Node]]&amp;" -&gt; "&amp;Table1[[#This Row],[Called Node]]</f>
        <v>first_new_PK_value -&gt; return_value_from_query_statement</v>
      </c>
      <c r="F325">
        <f>VLOOKUP(Table1[[#This Row],[Calling Node]],Nodes!A:D,4,0)</f>
        <v>22</v>
      </c>
      <c r="G325">
        <f>VLOOKUP(Table1[[#This Row],[Calling Node]],Nodes!A:E,5,0)</f>
        <v>10</v>
      </c>
      <c r="H325">
        <f>VLOOKUP(Table1[[#This Row],[Called Node]],Nodes!A:D,4,0)</f>
        <v>23</v>
      </c>
      <c r="I325">
        <f>VLOOKUP(Table1[[#This Row],[Called Node]],Nodes!A:E,5,0)</f>
        <v>16</v>
      </c>
    </row>
    <row r="326" spans="1:9" x14ac:dyDescent="0.3">
      <c r="A326" t="s">
        <v>116</v>
      </c>
      <c r="B326" t="str">
        <f>VLOOKUP(Table1[[#This Row],[Calling Node]],Nodes!A:B,2,0)</f>
        <v>first_new_PK_value</v>
      </c>
      <c r="C326" t="s">
        <v>152</v>
      </c>
      <c r="D326" t="str">
        <f>VLOOKUP(Table1[[#This Row],[Called Node]],Nodes!A:B,2,0)</f>
        <v>database_query_fail_statement</v>
      </c>
      <c r="E326" s="3" t="str">
        <f>Table1[[#This Row],[Calling Node]]&amp;" -&gt; "&amp;Table1[[#This Row],[Called Node]]</f>
        <v>first_new_PK_value -&gt; database_query_fail_statement</v>
      </c>
      <c r="F326">
        <f>VLOOKUP(Table1[[#This Row],[Calling Node]],Nodes!A:D,4,0)</f>
        <v>22</v>
      </c>
      <c r="G326">
        <f>VLOOKUP(Table1[[#This Row],[Calling Node]],Nodes!A:E,5,0)</f>
        <v>10</v>
      </c>
      <c r="H326">
        <f>VLOOKUP(Table1[[#This Row],[Called Node]],Nodes!A:D,4,0)</f>
        <v>23</v>
      </c>
      <c r="I326">
        <f>VLOOKUP(Table1[[#This Row],[Called Node]],Nodes!A:E,5,0)</f>
        <v>18</v>
      </c>
    </row>
    <row r="327" spans="1:9" x14ac:dyDescent="0.3">
      <c r="A327" t="s">
        <v>121</v>
      </c>
      <c r="B327" t="str">
        <f>VLOOKUP(Table1[[#This Row],[Calling Node]],Nodes!A:B,2,0)</f>
        <v>create_AUCT_SelectField_options</v>
      </c>
      <c r="C327" t="s">
        <v>118</v>
      </c>
      <c r="D327" t="str">
        <f>VLOOKUP(Table1[[#This Row],[Called Node]],Nodes!A:B,2,0)</f>
        <v>change_single_field_dataframe_into_series</v>
      </c>
      <c r="E327" s="3" t="str">
        <f>Table1[[#This Row],[Calling Node]]&amp;" -&gt; "&amp;Table1[[#This Row],[Called Node]]</f>
        <v>create_AUCT_SelectField_options -&gt; change_single_field_dataframe_into_series</v>
      </c>
      <c r="F327">
        <f>VLOOKUP(Table1[[#This Row],[Calling Node]],Nodes!A:D,4,0)</f>
        <v>22</v>
      </c>
      <c r="G327">
        <f>VLOOKUP(Table1[[#This Row],[Calling Node]],Nodes!A:E,5,0)</f>
        <v>15</v>
      </c>
      <c r="H327">
        <f>VLOOKUP(Table1[[#This Row],[Called Node]],Nodes!A:D,4,0)</f>
        <v>22</v>
      </c>
      <c r="I327">
        <f>VLOOKUP(Table1[[#This Row],[Called Node]],Nodes!A:E,5,0)</f>
        <v>12</v>
      </c>
    </row>
    <row r="328" spans="1:9" x14ac:dyDescent="0.3">
      <c r="A328" t="s">
        <v>123</v>
      </c>
      <c r="B328" t="str">
        <f>VLOOKUP(Table1[[#This Row],[Calling Node]],Nodes!A:B,2,0)</f>
        <v>query_database</v>
      </c>
      <c r="C328" t="s">
        <v>137</v>
      </c>
      <c r="D328" t="str">
        <f>VLOOKUP(Table1[[#This Row],[Called Node]],Nodes!A:B,2,0)</f>
        <v>remove_IDE_spacing_from_statement</v>
      </c>
      <c r="E328" s="3" t="str">
        <f>Table1[[#This Row],[Calling Node]]&amp;" -&gt; "&amp;Table1[[#This Row],[Called Node]]</f>
        <v>query_database -&gt; remove_IDE_spacing_from_statement</v>
      </c>
      <c r="F328">
        <f>VLOOKUP(Table1[[#This Row],[Calling Node]],Nodes!A:D,4,0)</f>
        <v>22</v>
      </c>
      <c r="G328">
        <f>VLOOKUP(Table1[[#This Row],[Calling Node]],Nodes!A:E,5,0)</f>
        <v>17</v>
      </c>
      <c r="H328">
        <f>VLOOKUP(Table1[[#This Row],[Called Node]],Nodes!A:D,4,0)</f>
        <v>23</v>
      </c>
      <c r="I328">
        <f>VLOOKUP(Table1[[#This Row],[Called Node]],Nodes!A:E,5,0)</f>
        <v>3</v>
      </c>
    </row>
    <row r="329" spans="1:9" x14ac:dyDescent="0.3">
      <c r="A329" t="s">
        <v>124</v>
      </c>
      <c r="B329" t="str">
        <f>VLOOKUP(Table1[[#This Row],[Calling Node]],Nodes!A:B,2,0)</f>
        <v>check_if_data_already_in_COUNTERData</v>
      </c>
      <c r="C329" t="s">
        <v>123</v>
      </c>
      <c r="D329" t="str">
        <f>VLOOKUP(Table1[[#This Row],[Called Node]],Nodes!A:B,2,0)</f>
        <v>query_database</v>
      </c>
      <c r="E329" s="3" t="str">
        <f>Table1[[#This Row],[Calling Node]]&amp;" -&gt; "&amp;Table1[[#This Row],[Called Node]]</f>
        <v>check_if_data_already_in_COUNTERData -&gt; query_database</v>
      </c>
      <c r="F329">
        <f>VLOOKUP(Table1[[#This Row],[Calling Node]],Nodes!A:D,4,0)</f>
        <v>22</v>
      </c>
      <c r="G329">
        <f>VLOOKUP(Table1[[#This Row],[Calling Node]],Nodes!A:E,5,0)</f>
        <v>18</v>
      </c>
      <c r="H329">
        <f>VLOOKUP(Table1[[#This Row],[Called Node]],Nodes!A:D,4,0)</f>
        <v>22</v>
      </c>
      <c r="I329">
        <f>VLOOKUP(Table1[[#This Row],[Called Node]],Nodes!A:E,5,0)</f>
        <v>17</v>
      </c>
    </row>
    <row r="330" spans="1:9" x14ac:dyDescent="0.3">
      <c r="A330" t="s">
        <v>124</v>
      </c>
      <c r="B330" t="str">
        <f>VLOOKUP(Table1[[#This Row],[Calling Node]],Nodes!A:B,2,0)</f>
        <v>check_if_data_already_in_COUNTERData</v>
      </c>
      <c r="C330" t="s">
        <v>130</v>
      </c>
      <c r="D330" t="str">
        <f>VLOOKUP(Table1[[#This Row],[Called Node]],Nodes!A:B,2,0)</f>
        <v>extract_value_from_single_value_df</v>
      </c>
      <c r="E330" s="3" t="str">
        <f>Table1[[#This Row],[Calling Node]]&amp;" -&gt; "&amp;Table1[[#This Row],[Called Node]]</f>
        <v>check_if_data_already_in_COUNTERData -&gt; extract_value_from_single_value_df</v>
      </c>
      <c r="F330">
        <f>VLOOKUP(Table1[[#This Row],[Calling Node]],Nodes!A:D,4,0)</f>
        <v>22</v>
      </c>
      <c r="G330">
        <f>VLOOKUP(Table1[[#This Row],[Calling Node]],Nodes!A:E,5,0)</f>
        <v>18</v>
      </c>
      <c r="H330">
        <f>VLOOKUP(Table1[[#This Row],[Called Node]],Nodes!A:D,4,0)</f>
        <v>22</v>
      </c>
      <c r="I330">
        <f>VLOOKUP(Table1[[#This Row],[Called Node]],Nodes!A:E,5,0)</f>
        <v>24</v>
      </c>
    </row>
    <row r="331" spans="1:9" x14ac:dyDescent="0.3">
      <c r="A331" t="s">
        <v>124</v>
      </c>
      <c r="B331" t="str">
        <f>VLOOKUP(Table1[[#This Row],[Calling Node]],Nodes!A:B,2,0)</f>
        <v>check_if_data_already_in_COUNTERData</v>
      </c>
      <c r="C331" t="s">
        <v>136</v>
      </c>
      <c r="D331" t="str">
        <f>VLOOKUP(Table1[[#This Row],[Called Node]],Nodes!A:B,2,0)</f>
        <v>format_list_for_stdout</v>
      </c>
      <c r="E331" s="3" t="str">
        <f>Table1[[#This Row],[Calling Node]]&amp;" -&gt; "&amp;Table1[[#This Row],[Called Node]]</f>
        <v>check_if_data_already_in_COUNTERData -&gt; format_list_for_stdout</v>
      </c>
      <c r="F331">
        <f>VLOOKUP(Table1[[#This Row],[Calling Node]],Nodes!A:D,4,0)</f>
        <v>22</v>
      </c>
      <c r="G331">
        <f>VLOOKUP(Table1[[#This Row],[Calling Node]],Nodes!A:E,5,0)</f>
        <v>18</v>
      </c>
      <c r="H331">
        <f>VLOOKUP(Table1[[#This Row],[Called Node]],Nodes!A:D,4,0)</f>
        <v>23</v>
      </c>
      <c r="I331">
        <f>VLOOKUP(Table1[[#This Row],[Called Node]],Nodes!A:E,5,0)</f>
        <v>2</v>
      </c>
    </row>
    <row r="332" spans="1:9" x14ac:dyDescent="0.3">
      <c r="A332" t="s">
        <v>124</v>
      </c>
      <c r="B332" t="str">
        <f>VLOOKUP(Table1[[#This Row],[Calling Node]],Nodes!A:B,2,0)</f>
        <v>check_if_data_already_in_COUNTERData</v>
      </c>
      <c r="C332" t="s">
        <v>150</v>
      </c>
      <c r="D332" t="str">
        <f>VLOOKUP(Table1[[#This Row],[Called Node]],Nodes!A:B,2,0)</f>
        <v>return_value_from_query_statement</v>
      </c>
      <c r="E332" s="3" t="str">
        <f>Table1[[#This Row],[Calling Node]]&amp;" -&gt; "&amp;Table1[[#This Row],[Called Node]]</f>
        <v>check_if_data_already_in_COUNTERData -&gt; return_value_from_query_statement</v>
      </c>
      <c r="F332">
        <f>VLOOKUP(Table1[[#This Row],[Calling Node]],Nodes!A:D,4,0)</f>
        <v>22</v>
      </c>
      <c r="G332">
        <f>VLOOKUP(Table1[[#This Row],[Calling Node]],Nodes!A:E,5,0)</f>
        <v>18</v>
      </c>
      <c r="H332">
        <f>VLOOKUP(Table1[[#This Row],[Called Node]],Nodes!A:D,4,0)</f>
        <v>23</v>
      </c>
      <c r="I332">
        <f>VLOOKUP(Table1[[#This Row],[Called Node]],Nodes!A:E,5,0)</f>
        <v>16</v>
      </c>
    </row>
    <row r="333" spans="1:9" x14ac:dyDescent="0.3">
      <c r="A333" t="s">
        <v>124</v>
      </c>
      <c r="B333" t="str">
        <f>VLOOKUP(Table1[[#This Row],[Calling Node]],Nodes!A:B,2,0)</f>
        <v>check_if_data_already_in_COUNTERData</v>
      </c>
      <c r="C333" t="s">
        <v>152</v>
      </c>
      <c r="D333" t="str">
        <f>VLOOKUP(Table1[[#This Row],[Called Node]],Nodes!A:B,2,0)</f>
        <v>database_query_fail_statement</v>
      </c>
      <c r="E333" s="3" t="str">
        <f>Table1[[#This Row],[Calling Node]]&amp;" -&gt; "&amp;Table1[[#This Row],[Called Node]]</f>
        <v>check_if_data_already_in_COUNTERData -&gt; database_query_fail_statement</v>
      </c>
      <c r="F333">
        <f>VLOOKUP(Table1[[#This Row],[Calling Node]],Nodes!A:D,4,0)</f>
        <v>22</v>
      </c>
      <c r="G333">
        <f>VLOOKUP(Table1[[#This Row],[Calling Node]],Nodes!A:E,5,0)</f>
        <v>18</v>
      </c>
      <c r="H333">
        <f>VLOOKUP(Table1[[#This Row],[Called Node]],Nodes!A:D,4,0)</f>
        <v>23</v>
      </c>
      <c r="I333">
        <f>VLOOKUP(Table1[[#This Row],[Called Node]],Nodes!A:E,5,0)</f>
        <v>18</v>
      </c>
    </row>
    <row r="334" spans="1:9" x14ac:dyDescent="0.3">
      <c r="A334" t="s">
        <v>126</v>
      </c>
      <c r="B334" t="str">
        <f>VLOOKUP(Table1[[#This Row],[Calling Node]],Nodes!A:B,2,0)</f>
        <v>update_database</v>
      </c>
      <c r="C334" t="s">
        <v>123</v>
      </c>
      <c r="D334" t="str">
        <f>VLOOKUP(Table1[[#This Row],[Called Node]],Nodes!A:B,2,0)</f>
        <v>query_database</v>
      </c>
      <c r="E334" s="3" t="str">
        <f>Table1[[#This Row],[Calling Node]]&amp;" -&gt; "&amp;Table1[[#This Row],[Called Node]]</f>
        <v>update_database -&gt; query_database</v>
      </c>
      <c r="F334">
        <f>VLOOKUP(Table1[[#This Row],[Calling Node]],Nodes!A:D,4,0)</f>
        <v>22</v>
      </c>
      <c r="G334">
        <f>VLOOKUP(Table1[[#This Row],[Calling Node]],Nodes!A:E,5,0)</f>
        <v>20</v>
      </c>
      <c r="H334">
        <f>VLOOKUP(Table1[[#This Row],[Called Node]],Nodes!A:D,4,0)</f>
        <v>22</v>
      </c>
      <c r="I334">
        <f>VLOOKUP(Table1[[#This Row],[Called Node]],Nodes!A:E,5,0)</f>
        <v>17</v>
      </c>
    </row>
    <row r="335" spans="1:9" x14ac:dyDescent="0.3">
      <c r="A335" t="s">
        <v>126</v>
      </c>
      <c r="B335" t="str">
        <f>VLOOKUP(Table1[[#This Row],[Calling Node]],Nodes!A:B,2,0)</f>
        <v>update_database</v>
      </c>
      <c r="C335" t="s">
        <v>125</v>
      </c>
      <c r="D335" t="str">
        <f>VLOOKUP(Table1[[#This Row],[Called Node]],Nodes!A:B,2,0)</f>
        <v>truncate_longer_lines</v>
      </c>
      <c r="E335" s="3" t="str">
        <f>Table1[[#This Row],[Calling Node]]&amp;" -&gt; "&amp;Table1[[#This Row],[Called Node]]</f>
        <v>update_database -&gt; truncate_longer_lines</v>
      </c>
      <c r="F335">
        <f>VLOOKUP(Table1[[#This Row],[Calling Node]],Nodes!A:D,4,0)</f>
        <v>22</v>
      </c>
      <c r="G335">
        <f>VLOOKUP(Table1[[#This Row],[Calling Node]],Nodes!A:E,5,0)</f>
        <v>20</v>
      </c>
      <c r="H335">
        <f>VLOOKUP(Table1[[#This Row],[Called Node]],Nodes!A:D,4,0)</f>
        <v>22</v>
      </c>
      <c r="I335">
        <f>VLOOKUP(Table1[[#This Row],[Called Node]],Nodes!A:E,5,0)</f>
        <v>19</v>
      </c>
    </row>
    <row r="336" spans="1:9" x14ac:dyDescent="0.3">
      <c r="A336" t="s">
        <v>126</v>
      </c>
      <c r="B336" t="str">
        <f>VLOOKUP(Table1[[#This Row],[Calling Node]],Nodes!A:B,2,0)</f>
        <v>update_database</v>
      </c>
      <c r="C336" t="s">
        <v>130</v>
      </c>
      <c r="D336" t="str">
        <f>VLOOKUP(Table1[[#This Row],[Called Node]],Nodes!A:B,2,0)</f>
        <v>extract_value_from_single_value_df</v>
      </c>
      <c r="E336" s="3" t="str">
        <f>Table1[[#This Row],[Calling Node]]&amp;" -&gt; "&amp;Table1[[#This Row],[Called Node]]</f>
        <v>update_database -&gt; extract_value_from_single_value_df</v>
      </c>
      <c r="F336">
        <f>VLOOKUP(Table1[[#This Row],[Calling Node]],Nodes!A:D,4,0)</f>
        <v>22</v>
      </c>
      <c r="G336">
        <f>VLOOKUP(Table1[[#This Row],[Calling Node]],Nodes!A:E,5,0)</f>
        <v>20</v>
      </c>
      <c r="H336">
        <f>VLOOKUP(Table1[[#This Row],[Called Node]],Nodes!A:D,4,0)</f>
        <v>22</v>
      </c>
      <c r="I336">
        <f>VLOOKUP(Table1[[#This Row],[Called Node]],Nodes!A:E,5,0)</f>
        <v>24</v>
      </c>
    </row>
    <row r="337" spans="1:9" x14ac:dyDescent="0.3">
      <c r="A337" t="s">
        <v>126</v>
      </c>
      <c r="B337" t="str">
        <f>VLOOKUP(Table1[[#This Row],[Calling Node]],Nodes!A:B,2,0)</f>
        <v>update_database</v>
      </c>
      <c r="C337" t="s">
        <v>137</v>
      </c>
      <c r="D337" t="str">
        <f>VLOOKUP(Table1[[#This Row],[Called Node]],Nodes!A:B,2,0)</f>
        <v>remove_IDE_spacing_from_statement</v>
      </c>
      <c r="E337" s="3" t="str">
        <f>Table1[[#This Row],[Calling Node]]&amp;" -&gt; "&amp;Table1[[#This Row],[Called Node]]</f>
        <v>update_database -&gt; remove_IDE_spacing_from_statement</v>
      </c>
      <c r="F337">
        <f>VLOOKUP(Table1[[#This Row],[Calling Node]],Nodes!A:D,4,0)</f>
        <v>22</v>
      </c>
      <c r="G337">
        <f>VLOOKUP(Table1[[#This Row],[Calling Node]],Nodes!A:E,5,0)</f>
        <v>20</v>
      </c>
      <c r="H337">
        <f>VLOOKUP(Table1[[#This Row],[Called Node]],Nodes!A:D,4,0)</f>
        <v>23</v>
      </c>
      <c r="I337">
        <f>VLOOKUP(Table1[[#This Row],[Called Node]],Nodes!A:E,5,0)</f>
        <v>3</v>
      </c>
    </row>
    <row r="338" spans="1:9" x14ac:dyDescent="0.3">
      <c r="A338" t="s">
        <v>126</v>
      </c>
      <c r="B338" t="str">
        <f>VLOOKUP(Table1[[#This Row],[Calling Node]],Nodes!A:B,2,0)</f>
        <v>update_database</v>
      </c>
      <c r="C338" t="s">
        <v>152</v>
      </c>
      <c r="D338" t="str">
        <f>VLOOKUP(Table1[[#This Row],[Called Node]],Nodes!A:B,2,0)</f>
        <v>database_query_fail_statement</v>
      </c>
      <c r="E338" s="3" t="str">
        <f>Table1[[#This Row],[Calling Node]]&amp;" -&gt; "&amp;Table1[[#This Row],[Called Node]]</f>
        <v>update_database -&gt; database_query_fail_statement</v>
      </c>
      <c r="F338">
        <f>VLOOKUP(Table1[[#This Row],[Calling Node]],Nodes!A:D,4,0)</f>
        <v>22</v>
      </c>
      <c r="G338">
        <f>VLOOKUP(Table1[[#This Row],[Calling Node]],Nodes!A:E,5,0)</f>
        <v>20</v>
      </c>
      <c r="H338">
        <f>VLOOKUP(Table1[[#This Row],[Called Node]],Nodes!A:D,4,0)</f>
        <v>23</v>
      </c>
      <c r="I338">
        <f>VLOOKUP(Table1[[#This Row],[Called Node]],Nodes!A:E,5,0)</f>
        <v>18</v>
      </c>
    </row>
    <row r="339" spans="1:9" x14ac:dyDescent="0.3">
      <c r="A339" t="s">
        <v>127</v>
      </c>
      <c r="B339" t="str">
        <f>VLOOKUP(Table1[[#This Row],[Calling Node]],Nodes!A:B,2,0)</f>
        <v>save_unconverted_data_via_upload</v>
      </c>
      <c r="C339" t="s">
        <v>120</v>
      </c>
      <c r="D339" t="str">
        <f>VLOOKUP(Table1[[#This Row],[Called Node]],Nodes!A:B,2,0)</f>
        <v>upload_file_to_S3_bucket</v>
      </c>
      <c r="E339" s="3" t="str">
        <f>Table1[[#This Row],[Calling Node]]&amp;" -&gt; "&amp;Table1[[#This Row],[Called Node]]</f>
        <v>save_unconverted_data_via_upload -&gt; upload_file_to_S3_bucket</v>
      </c>
      <c r="F339">
        <f>VLOOKUP(Table1[[#This Row],[Calling Node]],Nodes!A:D,4,0)</f>
        <v>22</v>
      </c>
      <c r="G339">
        <f>VLOOKUP(Table1[[#This Row],[Calling Node]],Nodes!A:E,5,0)</f>
        <v>21</v>
      </c>
      <c r="H339">
        <f>VLOOKUP(Table1[[#This Row],[Called Node]],Nodes!A:D,4,0)</f>
        <v>22</v>
      </c>
      <c r="I339">
        <f>VLOOKUP(Table1[[#This Row],[Called Node]],Nodes!A:E,5,0)</f>
        <v>14</v>
      </c>
    </row>
    <row r="340" spans="1:9" x14ac:dyDescent="0.3">
      <c r="A340" t="s">
        <v>127</v>
      </c>
      <c r="B340" t="str">
        <f>VLOOKUP(Table1[[#This Row],[Calling Node]],Nodes!A:B,2,0)</f>
        <v>save_unconverted_data_via_upload</v>
      </c>
      <c r="C340" t="s">
        <v>136</v>
      </c>
      <c r="D340" t="str">
        <f>VLOOKUP(Table1[[#This Row],[Called Node]],Nodes!A:B,2,0)</f>
        <v>format_list_for_stdout</v>
      </c>
      <c r="E340" s="3" t="str">
        <f>Table1[[#This Row],[Calling Node]]&amp;" -&gt; "&amp;Table1[[#This Row],[Called Node]]</f>
        <v>save_unconverted_data_via_upload -&gt; format_list_for_stdout</v>
      </c>
      <c r="F340">
        <f>VLOOKUP(Table1[[#This Row],[Calling Node]],Nodes!A:D,4,0)</f>
        <v>22</v>
      </c>
      <c r="G340">
        <f>VLOOKUP(Table1[[#This Row],[Calling Node]],Nodes!A:E,5,0)</f>
        <v>21</v>
      </c>
      <c r="H340">
        <f>VLOOKUP(Table1[[#This Row],[Called Node]],Nodes!A:D,4,0)</f>
        <v>23</v>
      </c>
      <c r="I340">
        <f>VLOOKUP(Table1[[#This Row],[Called Node]],Nodes!A:E,5,0)</f>
        <v>2</v>
      </c>
    </row>
    <row r="341" spans="1:9" x14ac:dyDescent="0.3">
      <c r="A341" t="s">
        <v>144</v>
      </c>
      <c r="B341" t="str">
        <f>VLOOKUP(Table1[[#This Row],[Calling Node]],Nodes!A:B,2,0)</f>
        <v>list_folder_contents_statement</v>
      </c>
      <c r="C341" t="s">
        <v>136</v>
      </c>
      <c r="D341" t="str">
        <f>VLOOKUP(Table1[[#This Row],[Called Node]],Nodes!A:B,2,0)</f>
        <v>format_list_for_stdout</v>
      </c>
      <c r="E341" s="3" t="str">
        <f>Table1[[#This Row],[Calling Node]]&amp;" -&gt; "&amp;Table1[[#This Row],[Called Node]]</f>
        <v>list_folder_contents_statement -&gt; format_list_for_stdout</v>
      </c>
      <c r="F341">
        <f>VLOOKUP(Table1[[#This Row],[Calling Node]],Nodes!A:D,4,0)</f>
        <v>23</v>
      </c>
      <c r="G341">
        <f>VLOOKUP(Table1[[#This Row],[Calling Node]],Nodes!A:E,5,0)</f>
        <v>10</v>
      </c>
      <c r="H341">
        <f>VLOOKUP(Table1[[#This Row],[Called Node]],Nodes!A:D,4,0)</f>
        <v>23</v>
      </c>
      <c r="I341">
        <f>VLOOKUP(Table1[[#This Row],[Called Node]],Nodes!A:E,5,0)</f>
        <v>2</v>
      </c>
    </row>
    <row r="342" spans="1:9" x14ac:dyDescent="0.3">
      <c r="A342" t="s">
        <v>153</v>
      </c>
      <c r="B342" t="str">
        <f>VLOOKUP(Table1[[#This Row],[Calling Node]],Nodes!A:B,2,0)</f>
        <v>database_update_fail_statement</v>
      </c>
      <c r="C342" t="s">
        <v>137</v>
      </c>
      <c r="D342" t="str">
        <f>VLOOKUP(Table1[[#This Row],[Called Node]],Nodes!A:B,2,0)</f>
        <v>remove_IDE_spacing_from_statement</v>
      </c>
      <c r="E342" s="3" t="str">
        <f>Table1[[#This Row],[Calling Node]]&amp;" -&gt; "&amp;Table1[[#This Row],[Called Node]]</f>
        <v>database_update_fail_statement -&gt; remove_IDE_spacing_from_statement</v>
      </c>
      <c r="F342">
        <f>VLOOKUP(Table1[[#This Row],[Calling Node]],Nodes!A:D,4,0)</f>
        <v>23</v>
      </c>
      <c r="G342">
        <f>VLOOKUP(Table1[[#This Row],[Calling Node]],Nodes!A:E,5,0)</f>
        <v>19</v>
      </c>
      <c r="H342">
        <f>VLOOKUP(Table1[[#This Row],[Called Node]],Nodes!A:D,4,0)</f>
        <v>23</v>
      </c>
      <c r="I342">
        <f>VLOOKUP(Table1[[#This Row],[Called Node]],Nodes!A:E,5,0)</f>
        <v>3</v>
      </c>
    </row>
    <row r="343" spans="1:9" x14ac:dyDescent="0.3">
      <c r="A343" t="s">
        <v>154</v>
      </c>
      <c r="B343" t="str">
        <f>VLOOKUP(Table1[[#This Row],[Calling Node]],Nodes!A:B,2,0)</f>
        <v>add_data_success_and_update_database_fail_statement</v>
      </c>
      <c r="C343" t="s">
        <v>153</v>
      </c>
      <c r="D343" t="str">
        <f>VLOOKUP(Table1[[#This Row],[Called Node]],Nodes!A:B,2,0)</f>
        <v>database_update_fail_statement</v>
      </c>
      <c r="E343" s="3" t="str">
        <f>Table1[[#This Row],[Calling Node]]&amp;" -&gt; "&amp;Table1[[#This Row],[Called Node]]</f>
        <v>add_data_success_and_update_database_fail_statement -&gt; database_update_fail_statement</v>
      </c>
      <c r="F343">
        <f>VLOOKUP(Table1[[#This Row],[Calling Node]],Nodes!A:D,4,0)</f>
        <v>23</v>
      </c>
      <c r="G343">
        <f>VLOOKUP(Table1[[#This Row],[Calling Node]],Nodes!A:E,5,0)</f>
        <v>20</v>
      </c>
      <c r="H343">
        <f>VLOOKUP(Table1[[#This Row],[Called Node]],Nodes!A:D,4,0)</f>
        <v>23</v>
      </c>
      <c r="I343">
        <f>VLOOKUP(Table1[[#This Row],[Called Node]],Nodes!A:E,5,0)</f>
        <v>19</v>
      </c>
    </row>
    <row r="344" spans="1:9" x14ac:dyDescent="0.3">
      <c r="A344" t="s">
        <v>166</v>
      </c>
      <c r="B344" s="2" t="str">
        <f>VLOOKUP(Table1[[#This Row],[Calling Node]],Nodes!A:B,2,0)</f>
        <v>fiscalYears_relation</v>
      </c>
      <c r="C344" t="s">
        <v>462</v>
      </c>
      <c r="D344" s="2" t="str">
        <f>VLOOKUP(Table1[[#This Row],[Called Node]],Nodes!A:B,2,0)</f>
        <v>state_data_types</v>
      </c>
      <c r="E344" s="3" t="str">
        <f>Table1[[#This Row],[Calling Node]]&amp;" -&gt; "&amp;Table1[[#This Row],[Called Node]]</f>
        <v>fiscalYears_relation_in_relations -&gt; state_data_types_in_FiscalYears</v>
      </c>
      <c r="F344">
        <f>VLOOKUP(Table1[[#This Row],[Calling Node]],Nodes!A:D,4,0)</f>
        <v>24</v>
      </c>
      <c r="G344">
        <f>VLOOKUP(Table1[[#This Row],[Calling Node]],Nodes!A:E,5,0)</f>
        <v>1</v>
      </c>
      <c r="H344">
        <f>VLOOKUP(Table1[[#This Row],[Called Node]],Nodes!A:D,4,0)</f>
        <v>2</v>
      </c>
      <c r="I344">
        <f>VLOOKUP(Table1[[#This Row],[Called Node]],Nodes!A:E,5,0)</f>
        <v>1</v>
      </c>
    </row>
    <row r="345" spans="1:9" x14ac:dyDescent="0.3">
      <c r="A345" t="s">
        <v>168</v>
      </c>
      <c r="B345" s="2" t="str">
        <f>VLOOKUP(Table1[[#This Row],[Calling Node]],Nodes!A:B,2,0)</f>
        <v>annualStatistics_relation</v>
      </c>
      <c r="C345" t="s">
        <v>19</v>
      </c>
      <c r="D345" s="2" t="str">
        <f>VLOOKUP(Table1[[#This Row],[Called Node]],Nodes!A:B,2,0)</f>
        <v>state_data_types</v>
      </c>
      <c r="E345" s="3" t="str">
        <f>Table1[[#This Row],[Calling Node]]&amp;" -&gt; "&amp;Table1[[#This Row],[Called Node]]</f>
        <v>annualStatistics_relation_in_relations -&gt; state_data_types_in_annualStatistics</v>
      </c>
      <c r="F345">
        <f>VLOOKUP(Table1[[#This Row],[Calling Node]],Nodes!A:D,4,0)</f>
        <v>24</v>
      </c>
      <c r="G345">
        <f>VLOOKUP(Table1[[#This Row],[Calling Node]],Nodes!A:E,5,0)</f>
        <v>2</v>
      </c>
      <c r="H345">
        <f>VLOOKUP(Table1[[#This Row],[Called Node]],Nodes!A:D,4,0)</f>
        <v>3</v>
      </c>
      <c r="I345">
        <f>VLOOKUP(Table1[[#This Row],[Called Node]],Nodes!A:E,5,0)</f>
        <v>1</v>
      </c>
    </row>
    <row r="346" spans="1:9" x14ac:dyDescent="0.3">
      <c r="A346" t="s">
        <v>170</v>
      </c>
      <c r="B346" s="2" t="str">
        <f>VLOOKUP(Table1[[#This Row],[Calling Node]],Nodes!A:B,2,0)</f>
        <v>vendors_relation</v>
      </c>
      <c r="C346" t="s">
        <v>23</v>
      </c>
      <c r="D346" s="2" t="str">
        <f>VLOOKUP(Table1[[#This Row],[Called Node]],Nodes!A:B,2,0)</f>
        <v>state_data_types</v>
      </c>
      <c r="E346" s="3" t="str">
        <f>Table1[[#This Row],[Calling Node]]&amp;" -&gt; "&amp;Table1[[#This Row],[Called Node]]</f>
        <v>vendors_relation_in_relations -&gt; state_data_types_in_vendors</v>
      </c>
      <c r="F346">
        <f>VLOOKUP(Table1[[#This Row],[Calling Node]],Nodes!A:D,4,0)</f>
        <v>24</v>
      </c>
      <c r="G346">
        <f>VLOOKUP(Table1[[#This Row],[Calling Node]],Nodes!A:E,5,0)</f>
        <v>3</v>
      </c>
      <c r="H346">
        <f>VLOOKUP(Table1[[#This Row],[Called Node]],Nodes!A:D,4,0)</f>
        <v>4</v>
      </c>
      <c r="I346">
        <f>VLOOKUP(Table1[[#This Row],[Called Node]],Nodes!A:E,5,0)</f>
        <v>1</v>
      </c>
    </row>
    <row r="347" spans="1:9" x14ac:dyDescent="0.3">
      <c r="A347" t="s">
        <v>171</v>
      </c>
      <c r="B347" s="2" t="str">
        <f>VLOOKUP(Table1[[#This Row],[Calling Node]],Nodes!A:B,2,0)</f>
        <v>vendorNotes_relation</v>
      </c>
      <c r="C347" t="s">
        <v>29</v>
      </c>
      <c r="D347" s="2" t="str">
        <f>VLOOKUP(Table1[[#This Row],[Called Node]],Nodes!A:B,2,0)</f>
        <v>state_data_types</v>
      </c>
      <c r="E347" s="3" t="str">
        <f>Table1[[#This Row],[Calling Node]]&amp;" -&gt; "&amp;Table1[[#This Row],[Called Node]]</f>
        <v>vendorNotes_relation_in_relations -&gt; state_data_types_in_vendorNotes</v>
      </c>
      <c r="F347">
        <f>VLOOKUP(Table1[[#This Row],[Calling Node]],Nodes!A:D,4,0)</f>
        <v>24</v>
      </c>
      <c r="G347">
        <f>VLOOKUP(Table1[[#This Row],[Calling Node]],Nodes!A:E,5,0)</f>
        <v>4</v>
      </c>
      <c r="H347">
        <f>VLOOKUP(Table1[[#This Row],[Called Node]],Nodes!A:D,4,0)</f>
        <v>5</v>
      </c>
      <c r="I347">
        <f>VLOOKUP(Table1[[#This Row],[Called Node]],Nodes!A:E,5,0)</f>
        <v>1</v>
      </c>
    </row>
    <row r="348" spans="1:9" x14ac:dyDescent="0.3">
      <c r="A348" t="s">
        <v>172</v>
      </c>
      <c r="B348" s="2" t="str">
        <f>VLOOKUP(Table1[[#This Row],[Calling Node]],Nodes!A:B,2,0)</f>
        <v>statisticsSources_relation</v>
      </c>
      <c r="C348" t="s">
        <v>31</v>
      </c>
      <c r="D348" s="2" t="str">
        <f>VLOOKUP(Table1[[#This Row],[Called Node]],Nodes!A:B,2,0)</f>
        <v>state_data_types</v>
      </c>
      <c r="E348" s="3" t="str">
        <f>Table1[[#This Row],[Calling Node]]&amp;" -&gt; "&amp;Table1[[#This Row],[Called Node]]</f>
        <v>statisticsSources_relation_in_relations -&gt; state_data_types_in_statisticsSources</v>
      </c>
      <c r="F348">
        <f>VLOOKUP(Table1[[#This Row],[Calling Node]],Nodes!A:D,4,0)</f>
        <v>24</v>
      </c>
      <c r="G348">
        <f>VLOOKUP(Table1[[#This Row],[Calling Node]],Nodes!A:E,5,0)</f>
        <v>5</v>
      </c>
      <c r="H348">
        <f>VLOOKUP(Table1[[#This Row],[Called Node]],Nodes!A:D,4,0)</f>
        <v>6</v>
      </c>
      <c r="I348">
        <f>VLOOKUP(Table1[[#This Row],[Called Node]],Nodes!A:E,5,0)</f>
        <v>1</v>
      </c>
    </row>
    <row r="349" spans="1:9" x14ac:dyDescent="0.3">
      <c r="A349" t="s">
        <v>173</v>
      </c>
      <c r="B349" s="2" t="str">
        <f>VLOOKUP(Table1[[#This Row],[Calling Node]],Nodes!A:B,2,0)</f>
        <v>statisticsSourceNotes_relation</v>
      </c>
      <c r="C349" t="s">
        <v>38</v>
      </c>
      <c r="D349" s="2" t="str">
        <f>VLOOKUP(Table1[[#This Row],[Called Node]],Nodes!A:B,2,0)</f>
        <v>state_data_types</v>
      </c>
      <c r="E349" s="3" t="str">
        <f>Table1[[#This Row],[Calling Node]]&amp;" -&gt; "&amp;Table1[[#This Row],[Called Node]]</f>
        <v>statisticsSourceNotes_relation_in_relations -&gt; state_data_types_in_statisticsSourceNotes</v>
      </c>
      <c r="F349">
        <f>VLOOKUP(Table1[[#This Row],[Calling Node]],Nodes!A:D,4,0)</f>
        <v>24</v>
      </c>
      <c r="G349">
        <f>VLOOKUP(Table1[[#This Row],[Calling Node]],Nodes!A:E,5,0)</f>
        <v>6</v>
      </c>
      <c r="H349">
        <f>VLOOKUP(Table1[[#This Row],[Called Node]],Nodes!A:D,4,0)</f>
        <v>7</v>
      </c>
      <c r="I349">
        <f>VLOOKUP(Table1[[#This Row],[Called Node]],Nodes!A:E,5,0)</f>
        <v>1</v>
      </c>
    </row>
    <row r="350" spans="1:9" x14ac:dyDescent="0.3">
      <c r="A350" t="s">
        <v>174</v>
      </c>
      <c r="B350" s="2" t="str">
        <f>VLOOKUP(Table1[[#This Row],[Calling Node]],Nodes!A:B,2,0)</f>
        <v>resourceSources_relation</v>
      </c>
      <c r="C350" t="s">
        <v>40</v>
      </c>
      <c r="D350" s="2" t="str">
        <f>VLOOKUP(Table1[[#This Row],[Called Node]],Nodes!A:B,2,0)</f>
        <v>state_data_types</v>
      </c>
      <c r="E350" s="3" t="str">
        <f>Table1[[#This Row],[Calling Node]]&amp;" -&gt; "&amp;Table1[[#This Row],[Called Node]]</f>
        <v>resourceSources_relation_in_relations -&gt; state_data_types_in_resourceSources</v>
      </c>
      <c r="F350">
        <f>VLOOKUP(Table1[[#This Row],[Calling Node]],Nodes!A:D,4,0)</f>
        <v>24</v>
      </c>
      <c r="G350">
        <f>VLOOKUP(Table1[[#This Row],[Calling Node]],Nodes!A:E,5,0)</f>
        <v>7</v>
      </c>
      <c r="H350">
        <f>VLOOKUP(Table1[[#This Row],[Called Node]],Nodes!A:D,4,0)</f>
        <v>8</v>
      </c>
      <c r="I350">
        <f>VLOOKUP(Table1[[#This Row],[Called Node]],Nodes!A:E,5,0)</f>
        <v>1</v>
      </c>
    </row>
    <row r="351" spans="1:9" x14ac:dyDescent="0.3">
      <c r="A351" t="s">
        <v>175</v>
      </c>
      <c r="B351" s="2" t="str">
        <f>VLOOKUP(Table1[[#This Row],[Calling Node]],Nodes!A:B,2,0)</f>
        <v>resourceSourceNotes_relation</v>
      </c>
      <c r="C351" t="s">
        <v>46</v>
      </c>
      <c r="D351" s="2" t="str">
        <f>VLOOKUP(Table1[[#This Row],[Called Node]],Nodes!A:B,2,0)</f>
        <v>state_data_types</v>
      </c>
      <c r="E351" s="3" t="str">
        <f>Table1[[#This Row],[Calling Node]]&amp;" -&gt; "&amp;Table1[[#This Row],[Called Node]]</f>
        <v>resourceSourceNotes_relation_in_relations -&gt; state_data_types_in_resourceSourceNotes</v>
      </c>
      <c r="F351">
        <f>VLOOKUP(Table1[[#This Row],[Calling Node]],Nodes!A:D,4,0)</f>
        <v>24</v>
      </c>
      <c r="G351">
        <f>VLOOKUP(Table1[[#This Row],[Calling Node]],Nodes!A:E,5,0)</f>
        <v>8</v>
      </c>
      <c r="H351">
        <f>VLOOKUP(Table1[[#This Row],[Called Node]],Nodes!A:D,4,0)</f>
        <v>9</v>
      </c>
      <c r="I351">
        <f>VLOOKUP(Table1[[#This Row],[Called Node]],Nodes!A:E,5,0)</f>
        <v>1</v>
      </c>
    </row>
    <row r="352" spans="1:9" x14ac:dyDescent="0.3">
      <c r="A352" t="s">
        <v>176</v>
      </c>
      <c r="B352" s="2" t="str">
        <f>VLOOKUP(Table1[[#This Row],[Calling Node]],Nodes!A:B,2,0)</f>
        <v>statisticsResourceSources_relation</v>
      </c>
      <c r="C352" t="s">
        <v>48</v>
      </c>
      <c r="D352" s="2" t="str">
        <f>VLOOKUP(Table1[[#This Row],[Called Node]],Nodes!A:B,2,0)</f>
        <v>state_data_types</v>
      </c>
      <c r="E352" s="3" t="str">
        <f>Table1[[#This Row],[Calling Node]]&amp;" -&gt; "&amp;Table1[[#This Row],[Called Node]]</f>
        <v>statisticsResourceSources_relation_in_relations -&gt; state_data_types_in_statisticsResourceSources</v>
      </c>
      <c r="F352">
        <f>VLOOKUP(Table1[[#This Row],[Calling Node]],Nodes!A:D,4,0)</f>
        <v>24</v>
      </c>
      <c r="G352">
        <f>VLOOKUP(Table1[[#This Row],[Calling Node]],Nodes!A:E,5,0)</f>
        <v>9</v>
      </c>
      <c r="H352">
        <f>VLOOKUP(Table1[[#This Row],[Called Node]],Nodes!A:D,4,0)</f>
        <v>10</v>
      </c>
      <c r="I352">
        <f>VLOOKUP(Table1[[#This Row],[Called Node]],Nodes!A:E,5,0)</f>
        <v>1</v>
      </c>
    </row>
    <row r="353" spans="1:9" x14ac:dyDescent="0.3">
      <c r="A353" t="s">
        <v>177</v>
      </c>
      <c r="B353" s="2" t="str">
        <f>VLOOKUP(Table1[[#This Row],[Calling Node]],Nodes!A:B,2,0)</f>
        <v>annualUsageCollectionTracking_relation</v>
      </c>
      <c r="C353" t="s">
        <v>50</v>
      </c>
      <c r="D353" s="2" t="str">
        <f>VLOOKUP(Table1[[#This Row],[Called Node]],Nodes!A:B,2,0)</f>
        <v>state_data_types</v>
      </c>
      <c r="E353" s="3" t="str">
        <f>Table1[[#This Row],[Calling Node]]&amp;" -&gt; "&amp;Table1[[#This Row],[Called Node]]</f>
        <v>annualUsageCollectionTracking_relation_in_relations -&gt; state_data_types_in_annualUsageCollectionTracking</v>
      </c>
      <c r="F353">
        <f>VLOOKUP(Table1[[#This Row],[Calling Node]],Nodes!A:D,4,0)</f>
        <v>24</v>
      </c>
      <c r="G353">
        <f>VLOOKUP(Table1[[#This Row],[Calling Node]],Nodes!A:E,5,0)</f>
        <v>10</v>
      </c>
      <c r="H353">
        <f>VLOOKUP(Table1[[#This Row],[Called Node]],Nodes!A:D,4,0)</f>
        <v>11</v>
      </c>
      <c r="I353">
        <f>VLOOKUP(Table1[[#This Row],[Called Node]],Nodes!A:E,5,0)</f>
        <v>1</v>
      </c>
    </row>
    <row r="354" spans="1:9" x14ac:dyDescent="0.3">
      <c r="A354" t="s">
        <v>178</v>
      </c>
      <c r="B354" s="2" t="str">
        <f>VLOOKUP(Table1[[#This Row],[Calling Node]],Nodes!A:B,2,0)</f>
        <v>workbook_0_2017_relation</v>
      </c>
      <c r="C354" t="s">
        <v>55</v>
      </c>
      <c r="D354" s="2" t="str">
        <f>VLOOKUP(Table1[[#This Row],[Called Node]],Nodes!A:B,2,0)</f>
        <v>state_data_types</v>
      </c>
      <c r="E354" s="3" t="str">
        <f>Table1[[#This Row],[Calling Node]]&amp;" -&gt; "&amp;Table1[[#This Row],[Called Node]]</f>
        <v>workbook_0_2017_relation_in_relations -&gt; state_data_types_in_COUNTERData</v>
      </c>
      <c r="F354">
        <f>VLOOKUP(Table1[[#This Row],[Calling Node]],Nodes!A:D,4,0)</f>
        <v>24</v>
      </c>
      <c r="G354">
        <f>VLOOKUP(Table1[[#This Row],[Calling Node]],Nodes!A:E,5,0)</f>
        <v>11</v>
      </c>
      <c r="H354">
        <f>VLOOKUP(Table1[[#This Row],[Called Node]],Nodes!A:D,4,0)</f>
        <v>12</v>
      </c>
      <c r="I354">
        <f>VLOOKUP(Table1[[#This Row],[Called Node]],Nodes!A:E,5,0)</f>
        <v>1</v>
      </c>
    </row>
    <row r="355" spans="1:9" x14ac:dyDescent="0.3">
      <c r="A355" t="s">
        <v>179</v>
      </c>
      <c r="B355" s="2" t="str">
        <f>VLOOKUP(Table1[[#This Row],[Calling Node]],Nodes!A:B,2,0)</f>
        <v>workbook_1_2017_relation</v>
      </c>
      <c r="C355" t="s">
        <v>55</v>
      </c>
      <c r="D355" s="2" t="str">
        <f>VLOOKUP(Table1[[#This Row],[Called Node]],Nodes!A:B,2,0)</f>
        <v>state_data_types</v>
      </c>
      <c r="E355" s="3" t="str">
        <f>Table1[[#This Row],[Calling Node]]&amp;" -&gt; "&amp;Table1[[#This Row],[Called Node]]</f>
        <v>workbook_1_2017_relation_in_relations -&gt; state_data_types_in_COUNTERData</v>
      </c>
      <c r="F355">
        <f>VLOOKUP(Table1[[#This Row],[Calling Node]],Nodes!A:D,4,0)</f>
        <v>24</v>
      </c>
      <c r="G355">
        <f>VLOOKUP(Table1[[#This Row],[Calling Node]],Nodes!A:E,5,0)</f>
        <v>12</v>
      </c>
      <c r="H355">
        <f>VLOOKUP(Table1[[#This Row],[Called Node]],Nodes!A:D,4,0)</f>
        <v>12</v>
      </c>
      <c r="I355">
        <f>VLOOKUP(Table1[[#This Row],[Called Node]],Nodes!A:E,5,0)</f>
        <v>1</v>
      </c>
    </row>
    <row r="356" spans="1:9" x14ac:dyDescent="0.3">
      <c r="A356" t="s">
        <v>180</v>
      </c>
      <c r="B356" s="2" t="str">
        <f>VLOOKUP(Table1[[#This Row],[Calling Node]],Nodes!A:B,2,0)</f>
        <v>workbook_2_2017_relation</v>
      </c>
      <c r="C356" t="s">
        <v>55</v>
      </c>
      <c r="D356" s="2" t="str">
        <f>VLOOKUP(Table1[[#This Row],[Called Node]],Nodes!A:B,2,0)</f>
        <v>state_data_types</v>
      </c>
      <c r="E356" s="3" t="str">
        <f>Table1[[#This Row],[Calling Node]]&amp;" -&gt; "&amp;Table1[[#This Row],[Called Node]]</f>
        <v>workbook_2_2017_relation_in_relations -&gt; state_data_types_in_COUNTERData</v>
      </c>
      <c r="F356">
        <f>VLOOKUP(Table1[[#This Row],[Calling Node]],Nodes!A:D,4,0)</f>
        <v>24</v>
      </c>
      <c r="G356">
        <f>VLOOKUP(Table1[[#This Row],[Calling Node]],Nodes!A:E,5,0)</f>
        <v>13</v>
      </c>
      <c r="H356">
        <f>VLOOKUP(Table1[[#This Row],[Called Node]],Nodes!A:D,4,0)</f>
        <v>12</v>
      </c>
      <c r="I356">
        <f>VLOOKUP(Table1[[#This Row],[Called Node]],Nodes!A:E,5,0)</f>
        <v>1</v>
      </c>
    </row>
    <row r="357" spans="1:9" x14ac:dyDescent="0.3">
      <c r="A357" t="s">
        <v>181</v>
      </c>
      <c r="B357" s="2" t="str">
        <f>VLOOKUP(Table1[[#This Row],[Calling Node]],Nodes!A:B,2,0)</f>
        <v>workbook_0_2018_relation</v>
      </c>
      <c r="C357" t="s">
        <v>55</v>
      </c>
      <c r="D357" s="2" t="str">
        <f>VLOOKUP(Table1[[#This Row],[Called Node]],Nodes!A:B,2,0)</f>
        <v>state_data_types</v>
      </c>
      <c r="E357" s="3" t="str">
        <f>Table1[[#This Row],[Calling Node]]&amp;" -&gt; "&amp;Table1[[#This Row],[Called Node]]</f>
        <v>workbook_0_2018_relation_in_relations -&gt; state_data_types_in_COUNTERData</v>
      </c>
      <c r="F357">
        <f>VLOOKUP(Table1[[#This Row],[Calling Node]],Nodes!A:D,4,0)</f>
        <v>24</v>
      </c>
      <c r="G357">
        <f>VLOOKUP(Table1[[#This Row],[Calling Node]],Nodes!A:E,5,0)</f>
        <v>14</v>
      </c>
      <c r="H357">
        <f>VLOOKUP(Table1[[#This Row],[Called Node]],Nodes!A:D,4,0)</f>
        <v>12</v>
      </c>
      <c r="I357">
        <f>VLOOKUP(Table1[[#This Row],[Called Node]],Nodes!A:E,5,0)</f>
        <v>1</v>
      </c>
    </row>
    <row r="358" spans="1:9" x14ac:dyDescent="0.3">
      <c r="A358" t="s">
        <v>182</v>
      </c>
      <c r="B358" s="2" t="str">
        <f>VLOOKUP(Table1[[#This Row],[Calling Node]],Nodes!A:B,2,0)</f>
        <v>workbook_1_2018_relation</v>
      </c>
      <c r="C358" t="s">
        <v>55</v>
      </c>
      <c r="D358" s="2" t="str">
        <f>VLOOKUP(Table1[[#This Row],[Called Node]],Nodes!A:B,2,0)</f>
        <v>state_data_types</v>
      </c>
      <c r="E358" s="3" t="str">
        <f>Table1[[#This Row],[Calling Node]]&amp;" -&gt; "&amp;Table1[[#This Row],[Called Node]]</f>
        <v>workbook_1_2018_relation_in_relations -&gt; state_data_types_in_COUNTERData</v>
      </c>
      <c r="F358">
        <f>VLOOKUP(Table1[[#This Row],[Calling Node]],Nodes!A:D,4,0)</f>
        <v>24</v>
      </c>
      <c r="G358">
        <f>VLOOKUP(Table1[[#This Row],[Calling Node]],Nodes!A:E,5,0)</f>
        <v>15</v>
      </c>
      <c r="H358">
        <f>VLOOKUP(Table1[[#This Row],[Called Node]],Nodes!A:D,4,0)</f>
        <v>12</v>
      </c>
      <c r="I358">
        <f>VLOOKUP(Table1[[#This Row],[Called Node]],Nodes!A:E,5,0)</f>
        <v>1</v>
      </c>
    </row>
    <row r="359" spans="1:9" x14ac:dyDescent="0.3">
      <c r="A359" t="s">
        <v>183</v>
      </c>
      <c r="B359" s="2" t="str">
        <f>VLOOKUP(Table1[[#This Row],[Calling Node]],Nodes!A:B,2,0)</f>
        <v>workbook_2_2018_relation</v>
      </c>
      <c r="C359" t="s">
        <v>55</v>
      </c>
      <c r="D359" s="2" t="str">
        <f>VLOOKUP(Table1[[#This Row],[Called Node]],Nodes!A:B,2,0)</f>
        <v>state_data_types</v>
      </c>
      <c r="E359" s="3" t="str">
        <f>Table1[[#This Row],[Calling Node]]&amp;" -&gt; "&amp;Table1[[#This Row],[Called Node]]</f>
        <v>workbook_2_2018_relation_in_relations -&gt; state_data_types_in_COUNTERData</v>
      </c>
      <c r="F359">
        <f>VLOOKUP(Table1[[#This Row],[Calling Node]],Nodes!A:D,4,0)</f>
        <v>24</v>
      </c>
      <c r="G359">
        <f>VLOOKUP(Table1[[#This Row],[Calling Node]],Nodes!A:E,5,0)</f>
        <v>16</v>
      </c>
      <c r="H359">
        <f>VLOOKUP(Table1[[#This Row],[Called Node]],Nodes!A:D,4,0)</f>
        <v>12</v>
      </c>
      <c r="I359">
        <f>VLOOKUP(Table1[[#This Row],[Called Node]],Nodes!A:E,5,0)</f>
        <v>1</v>
      </c>
    </row>
    <row r="360" spans="1:9" x14ac:dyDescent="0.3">
      <c r="A360" t="s">
        <v>184</v>
      </c>
      <c r="B360" s="2" t="str">
        <f>VLOOKUP(Table1[[#This Row],[Calling Node]],Nodes!A:B,2,0)</f>
        <v>workbook_0_2019_relation</v>
      </c>
      <c r="C360" t="s">
        <v>55</v>
      </c>
      <c r="D360" s="2" t="str">
        <f>VLOOKUP(Table1[[#This Row],[Called Node]],Nodes!A:B,2,0)</f>
        <v>state_data_types</v>
      </c>
      <c r="E360" s="3" t="str">
        <f>Table1[[#This Row],[Calling Node]]&amp;" -&gt; "&amp;Table1[[#This Row],[Called Node]]</f>
        <v>workbook_0_2019_relation_in_relations -&gt; state_data_types_in_COUNTERData</v>
      </c>
      <c r="F360">
        <f>VLOOKUP(Table1[[#This Row],[Calling Node]],Nodes!A:D,4,0)</f>
        <v>24</v>
      </c>
      <c r="G360">
        <f>VLOOKUP(Table1[[#This Row],[Calling Node]],Nodes!A:E,5,0)</f>
        <v>17</v>
      </c>
      <c r="H360">
        <f>VLOOKUP(Table1[[#This Row],[Called Node]],Nodes!A:D,4,0)</f>
        <v>12</v>
      </c>
      <c r="I360">
        <f>VLOOKUP(Table1[[#This Row],[Called Node]],Nodes!A:E,5,0)</f>
        <v>1</v>
      </c>
    </row>
    <row r="361" spans="1:9" x14ac:dyDescent="0.3">
      <c r="A361" t="s">
        <v>185</v>
      </c>
      <c r="B361" s="2" t="str">
        <f>VLOOKUP(Table1[[#This Row],[Calling Node]],Nodes!A:B,2,0)</f>
        <v>workbook_1_2019_relation</v>
      </c>
      <c r="C361" t="s">
        <v>55</v>
      </c>
      <c r="D361" s="2" t="str">
        <f>VLOOKUP(Table1[[#This Row],[Called Node]],Nodes!A:B,2,0)</f>
        <v>state_data_types</v>
      </c>
      <c r="E361" s="3" t="str">
        <f>Table1[[#This Row],[Calling Node]]&amp;" -&gt; "&amp;Table1[[#This Row],[Called Node]]</f>
        <v>workbook_1_2019_relation_in_relations -&gt; state_data_types_in_COUNTERData</v>
      </c>
      <c r="F361">
        <f>VLOOKUP(Table1[[#This Row],[Calling Node]],Nodes!A:D,4,0)</f>
        <v>24</v>
      </c>
      <c r="G361">
        <f>VLOOKUP(Table1[[#This Row],[Calling Node]],Nodes!A:E,5,0)</f>
        <v>18</v>
      </c>
      <c r="H361">
        <f>VLOOKUP(Table1[[#This Row],[Called Node]],Nodes!A:D,4,0)</f>
        <v>12</v>
      </c>
      <c r="I361">
        <f>VLOOKUP(Table1[[#This Row],[Called Node]],Nodes!A:E,5,0)</f>
        <v>1</v>
      </c>
    </row>
    <row r="362" spans="1:9" x14ac:dyDescent="0.3">
      <c r="A362" t="s">
        <v>186</v>
      </c>
      <c r="B362" s="2" t="str">
        <f>VLOOKUP(Table1[[#This Row],[Calling Node]],Nodes!A:B,2,0)</f>
        <v>workbook_2_2019_relation</v>
      </c>
      <c r="C362" t="s">
        <v>55</v>
      </c>
      <c r="D362" s="2" t="str">
        <f>VLOOKUP(Table1[[#This Row],[Called Node]],Nodes!A:B,2,0)</f>
        <v>state_data_types</v>
      </c>
      <c r="E362" s="3" t="str">
        <f>Table1[[#This Row],[Calling Node]]&amp;" -&gt; "&amp;Table1[[#This Row],[Called Node]]</f>
        <v>workbook_2_2019_relation_in_relations -&gt; state_data_types_in_COUNTERData</v>
      </c>
      <c r="F362">
        <f>VLOOKUP(Table1[[#This Row],[Calling Node]],Nodes!A:D,4,0)</f>
        <v>24</v>
      </c>
      <c r="G362">
        <f>VLOOKUP(Table1[[#This Row],[Calling Node]],Nodes!A:E,5,0)</f>
        <v>19</v>
      </c>
      <c r="H362">
        <f>VLOOKUP(Table1[[#This Row],[Called Node]],Nodes!A:D,4,0)</f>
        <v>12</v>
      </c>
      <c r="I362">
        <f>VLOOKUP(Table1[[#This Row],[Called Node]],Nodes!A:E,5,0)</f>
        <v>1</v>
      </c>
    </row>
    <row r="363" spans="1:9" x14ac:dyDescent="0.3">
      <c r="A363" t="s">
        <v>187</v>
      </c>
      <c r="B363" s="2" t="str">
        <f>VLOOKUP(Table1[[#This Row],[Calling Node]],Nodes!A:B,2,0)</f>
        <v>workbook_3_2019_relation</v>
      </c>
      <c r="C363" t="s">
        <v>55</v>
      </c>
      <c r="D363" s="2" t="str">
        <f>VLOOKUP(Table1[[#This Row],[Called Node]],Nodes!A:B,2,0)</f>
        <v>state_data_types</v>
      </c>
      <c r="E363" s="3" t="str">
        <f>Table1[[#This Row],[Calling Node]]&amp;" -&gt; "&amp;Table1[[#This Row],[Called Node]]</f>
        <v>workbook_3_2019_relation_in_relations -&gt; state_data_types_in_COUNTERData</v>
      </c>
      <c r="F363">
        <f>VLOOKUP(Table1[[#This Row],[Calling Node]],Nodes!A:D,4,0)</f>
        <v>24</v>
      </c>
      <c r="G363">
        <f>VLOOKUP(Table1[[#This Row],[Calling Node]],Nodes!A:E,5,0)</f>
        <v>20</v>
      </c>
      <c r="H363">
        <f>VLOOKUP(Table1[[#This Row],[Called Node]],Nodes!A:D,4,0)</f>
        <v>12</v>
      </c>
      <c r="I363">
        <f>VLOOKUP(Table1[[#This Row],[Called Node]],Nodes!A:E,5,0)</f>
        <v>1</v>
      </c>
    </row>
    <row r="364" spans="1:9" x14ac:dyDescent="0.3">
      <c r="A364" t="s">
        <v>188</v>
      </c>
      <c r="B364" s="2" t="str">
        <f>VLOOKUP(Table1[[#This Row],[Calling Node]],Nodes!A:B,2,0)</f>
        <v>workbook_0_2020_relation</v>
      </c>
      <c r="C364" t="s">
        <v>55</v>
      </c>
      <c r="D364" s="2" t="str">
        <f>VLOOKUP(Table1[[#This Row],[Called Node]],Nodes!A:B,2,0)</f>
        <v>state_data_types</v>
      </c>
      <c r="E364" s="3" t="str">
        <f>Table1[[#This Row],[Calling Node]]&amp;" -&gt; "&amp;Table1[[#This Row],[Called Node]]</f>
        <v>workbook_0_2020_relation_in_relations -&gt; state_data_types_in_COUNTERData</v>
      </c>
      <c r="F364">
        <f>VLOOKUP(Table1[[#This Row],[Calling Node]],Nodes!A:D,4,0)</f>
        <v>24</v>
      </c>
      <c r="G364">
        <f>VLOOKUP(Table1[[#This Row],[Calling Node]],Nodes!A:E,5,0)</f>
        <v>21</v>
      </c>
      <c r="H364">
        <f>VLOOKUP(Table1[[#This Row],[Called Node]],Nodes!A:D,4,0)</f>
        <v>12</v>
      </c>
      <c r="I364">
        <f>VLOOKUP(Table1[[#This Row],[Called Node]],Nodes!A:E,5,0)</f>
        <v>1</v>
      </c>
    </row>
    <row r="365" spans="1:9" x14ac:dyDescent="0.3">
      <c r="A365" t="s">
        <v>189</v>
      </c>
      <c r="B365" s="2" t="str">
        <f>VLOOKUP(Table1[[#This Row],[Calling Node]],Nodes!A:B,2,0)</f>
        <v>workbook_1_2020_relation</v>
      </c>
      <c r="C365" t="s">
        <v>55</v>
      </c>
      <c r="D365" s="2" t="str">
        <f>VLOOKUP(Table1[[#This Row],[Called Node]],Nodes!A:B,2,0)</f>
        <v>state_data_types</v>
      </c>
      <c r="E365" s="3" t="str">
        <f>Table1[[#This Row],[Calling Node]]&amp;" -&gt; "&amp;Table1[[#This Row],[Called Node]]</f>
        <v>workbook_1_2020_relation_in_relations -&gt; state_data_types_in_COUNTERData</v>
      </c>
      <c r="F365">
        <f>VLOOKUP(Table1[[#This Row],[Calling Node]],Nodes!A:D,4,0)</f>
        <v>24</v>
      </c>
      <c r="G365">
        <f>VLOOKUP(Table1[[#This Row],[Calling Node]],Nodes!A:E,5,0)</f>
        <v>22</v>
      </c>
      <c r="H365">
        <f>VLOOKUP(Table1[[#This Row],[Called Node]],Nodes!A:D,4,0)</f>
        <v>12</v>
      </c>
      <c r="I365">
        <f>VLOOKUP(Table1[[#This Row],[Called Node]],Nodes!A:E,5,0)</f>
        <v>1</v>
      </c>
    </row>
    <row r="366" spans="1:9" x14ac:dyDescent="0.3">
      <c r="A366" t="s">
        <v>190</v>
      </c>
      <c r="B366" s="2" t="str">
        <f>VLOOKUP(Table1[[#This Row],[Calling Node]],Nodes!A:B,2,0)</f>
        <v>workbook_2_2020_relation</v>
      </c>
      <c r="C366" t="s">
        <v>55</v>
      </c>
      <c r="D366" s="2" t="str">
        <f>VLOOKUP(Table1[[#This Row],[Called Node]],Nodes!A:B,2,0)</f>
        <v>state_data_types</v>
      </c>
      <c r="E366" s="3" t="str">
        <f>Table1[[#This Row],[Calling Node]]&amp;" -&gt; "&amp;Table1[[#This Row],[Called Node]]</f>
        <v>workbook_2_2020_relation_in_relations -&gt; state_data_types_in_COUNTERData</v>
      </c>
      <c r="F366">
        <f>VLOOKUP(Table1[[#This Row],[Calling Node]],Nodes!A:D,4,0)</f>
        <v>24</v>
      </c>
      <c r="G366">
        <f>VLOOKUP(Table1[[#This Row],[Calling Node]],Nodes!A:E,5,0)</f>
        <v>23</v>
      </c>
      <c r="H366">
        <f>VLOOKUP(Table1[[#This Row],[Called Node]],Nodes!A:D,4,0)</f>
        <v>12</v>
      </c>
      <c r="I366">
        <f>VLOOKUP(Table1[[#This Row],[Called Node]],Nodes!A:E,5,0)</f>
        <v>1</v>
      </c>
    </row>
    <row r="367" spans="1:9" x14ac:dyDescent="0.3">
      <c r="A367" t="s">
        <v>191</v>
      </c>
      <c r="B367" s="2" t="str">
        <f>VLOOKUP(Table1[[#This Row],[Calling Node]],Nodes!A:B,2,0)</f>
        <v>workbook_3_2020_relation</v>
      </c>
      <c r="C367" t="s">
        <v>55</v>
      </c>
      <c r="D367" s="2" t="str">
        <f>VLOOKUP(Table1[[#This Row],[Called Node]],Nodes!A:B,2,0)</f>
        <v>state_data_types</v>
      </c>
      <c r="E367" s="3" t="str">
        <f>Table1[[#This Row],[Calling Node]]&amp;" -&gt; "&amp;Table1[[#This Row],[Called Node]]</f>
        <v>workbook_3_2020_relation_in_relations -&gt; state_data_types_in_COUNTERData</v>
      </c>
      <c r="F367">
        <f>VLOOKUP(Table1[[#This Row],[Calling Node]],Nodes!A:D,4,0)</f>
        <v>24</v>
      </c>
      <c r="G367">
        <f>VLOOKUP(Table1[[#This Row],[Calling Node]],Nodes!A:E,5,0)</f>
        <v>24</v>
      </c>
      <c r="H367">
        <f>VLOOKUP(Table1[[#This Row],[Called Node]],Nodes!A:D,4,0)</f>
        <v>12</v>
      </c>
      <c r="I367">
        <f>VLOOKUP(Table1[[#This Row],[Called Node]],Nodes!A:E,5,0)</f>
        <v>1</v>
      </c>
    </row>
    <row r="368" spans="1:9" x14ac:dyDescent="0.3">
      <c r="A368" t="s">
        <v>216</v>
      </c>
      <c r="B368" t="str">
        <f>VLOOKUP(Table1[[#This Row],[Calling Node]],Nodes!A:B,2,0)</f>
        <v>app</v>
      </c>
      <c r="C368" t="s">
        <v>108</v>
      </c>
      <c r="D368" t="str">
        <f>VLOOKUP(Table1[[#This Row],[Called Node]],Nodes!A:B,2,0)</f>
        <v>configure_logging</v>
      </c>
      <c r="E368" s="3" t="str">
        <f>Table1[[#This Row],[Calling Node]]&amp;" -&gt; "&amp;Table1[[#This Row],[Called Node]]</f>
        <v>app -&gt; configure_logging</v>
      </c>
      <c r="F368">
        <f>VLOOKUP(Table1[[#This Row],[Calling Node]],Nodes!A:D,4,0)</f>
        <v>25</v>
      </c>
      <c r="G368">
        <f>VLOOKUP(Table1[[#This Row],[Calling Node]],Nodes!A:E,5,0)</f>
        <v>2</v>
      </c>
      <c r="H368">
        <f>VLOOKUP(Table1[[#This Row],[Called Node]],Nodes!A:D,4,0)</f>
        <v>22</v>
      </c>
      <c r="I368">
        <f>VLOOKUP(Table1[[#This Row],[Called Node]],Nodes!A:E,5,0)</f>
        <v>2</v>
      </c>
    </row>
    <row r="369" spans="1:9" x14ac:dyDescent="0.3">
      <c r="A369" t="s">
        <v>216</v>
      </c>
      <c r="B369" t="str">
        <f>VLOOKUP(Table1[[#This Row],[Calling Node]],Nodes!A:B,2,0)</f>
        <v>app</v>
      </c>
      <c r="C369" t="s">
        <v>111</v>
      </c>
      <c r="D369" t="str">
        <f>VLOOKUP(Table1[[#This Row],[Called Node]],Nodes!A:B,2,0)</f>
        <v>create_app</v>
      </c>
      <c r="E369" s="3" t="str">
        <f>Table1[[#This Row],[Calling Node]]&amp;" -&gt; "&amp;Table1[[#This Row],[Called Node]]</f>
        <v>app -&gt; create_app</v>
      </c>
      <c r="F369">
        <f>VLOOKUP(Table1[[#This Row],[Calling Node]],Nodes!A:D,4,0)</f>
        <v>25</v>
      </c>
      <c r="G369">
        <f>VLOOKUP(Table1[[#This Row],[Calling Node]],Nodes!A:E,5,0)</f>
        <v>2</v>
      </c>
      <c r="H369">
        <f>VLOOKUP(Table1[[#This Row],[Called Node]],Nodes!A:D,4,0)</f>
        <v>22</v>
      </c>
      <c r="I369">
        <f>VLOOKUP(Table1[[#This Row],[Called Node]],Nodes!A:E,5,0)</f>
        <v>5</v>
      </c>
    </row>
    <row r="370" spans="1:9" x14ac:dyDescent="0.3">
      <c r="A370" t="s">
        <v>217</v>
      </c>
      <c r="B370" t="str">
        <f>VLOOKUP(Table1[[#This Row],[Calling Node]],Nodes!A:B,2,0)</f>
        <v>client</v>
      </c>
      <c r="C370" t="s">
        <v>216</v>
      </c>
      <c r="D370" t="str">
        <f>VLOOKUP(Table1[[#This Row],[Called Node]],Nodes!A:B,2,0)</f>
        <v>app</v>
      </c>
      <c r="E370" s="3" t="str">
        <f>Table1[[#This Row],[Calling Node]]&amp;" -&gt; "&amp;Table1[[#This Row],[Called Node]]</f>
        <v>client -&gt; app</v>
      </c>
      <c r="F370">
        <f>VLOOKUP(Table1[[#This Row],[Calling Node]],Nodes!A:D,4,0)</f>
        <v>25</v>
      </c>
      <c r="G370">
        <f>VLOOKUP(Table1[[#This Row],[Calling Node]],Nodes!A:E,5,0)</f>
        <v>3</v>
      </c>
      <c r="H370">
        <f>VLOOKUP(Table1[[#This Row],[Called Node]],Nodes!A:D,4,0)</f>
        <v>25</v>
      </c>
      <c r="I370">
        <f>VLOOKUP(Table1[[#This Row],[Called Node]],Nodes!A:E,5,0)</f>
        <v>2</v>
      </c>
    </row>
    <row r="371" spans="1:9" x14ac:dyDescent="0.3">
      <c r="A371" t="s">
        <v>219</v>
      </c>
      <c r="B371" t="str">
        <f>VLOOKUP(Table1[[#This Row],[Calling Node]],Nodes!A:B,2,0)</f>
        <v>session</v>
      </c>
      <c r="C371" t="s">
        <v>215</v>
      </c>
      <c r="D371" t="str">
        <f>VLOOKUP(Table1[[#This Row],[Called Node]],Nodes!A:B,2,0)</f>
        <v>engine</v>
      </c>
      <c r="E371" s="3" t="str">
        <f>Table1[[#This Row],[Calling Node]]&amp;" -&gt; "&amp;Table1[[#This Row],[Called Node]]</f>
        <v>session -&gt; engine</v>
      </c>
      <c r="F371">
        <f>VLOOKUP(Table1[[#This Row],[Calling Node]],Nodes!A:D,4,0)</f>
        <v>25</v>
      </c>
      <c r="G371">
        <f>VLOOKUP(Table1[[#This Row],[Calling Node]],Nodes!A:E,5,0)</f>
        <v>5</v>
      </c>
      <c r="H371">
        <f>VLOOKUP(Table1[[#This Row],[Called Node]],Nodes!A:D,4,0)</f>
        <v>25</v>
      </c>
      <c r="I371">
        <f>VLOOKUP(Table1[[#This Row],[Called Node]],Nodes!A:E,5,0)</f>
        <v>1</v>
      </c>
    </row>
    <row r="372" spans="1:9" x14ac:dyDescent="0.3">
      <c r="A372" t="s">
        <v>220</v>
      </c>
      <c r="B372" s="2" t="str">
        <f>VLOOKUP(Table1[[#This Row],[Calling Node]],Nodes!A:B,2,0)</f>
        <v>fiscalYears_relation</v>
      </c>
      <c r="C372" t="s">
        <v>166</v>
      </c>
      <c r="D372" s="2" t="str">
        <f>VLOOKUP(Table1[[#This Row],[Called Node]],Nodes!A:B,2,0)</f>
        <v>fiscalYears_relation</v>
      </c>
      <c r="E372" s="3" t="str">
        <f>Table1[[#This Row],[Calling Node]]&amp;" -&gt; "&amp;Table1[[#This Row],[Called Node]]</f>
        <v>fiscalYears_relation_in_conftest -&gt; fiscalYears_relation_in_relations</v>
      </c>
      <c r="F372">
        <f>VLOOKUP(Table1[[#This Row],[Calling Node]],Nodes!A:D,4,0)</f>
        <v>25</v>
      </c>
      <c r="G372">
        <f>VLOOKUP(Table1[[#This Row],[Calling Node]],Nodes!A:E,5,0)</f>
        <v>6</v>
      </c>
      <c r="H372">
        <f>VLOOKUP(Table1[[#This Row],[Called Node]],Nodes!A:D,4,0)</f>
        <v>24</v>
      </c>
      <c r="I372">
        <f>VLOOKUP(Table1[[#This Row],[Called Node]],Nodes!A:E,5,0)</f>
        <v>1</v>
      </c>
    </row>
    <row r="373" spans="1:9" x14ac:dyDescent="0.3">
      <c r="A373" t="s">
        <v>221</v>
      </c>
      <c r="B373" s="2" t="str">
        <f>VLOOKUP(Table1[[#This Row],[Calling Node]],Nodes!A:B,2,0)</f>
        <v>annualStatistics_relation</v>
      </c>
      <c r="C373" t="s">
        <v>168</v>
      </c>
      <c r="D373" s="2" t="str">
        <f>VLOOKUP(Table1[[#This Row],[Called Node]],Nodes!A:B,2,0)</f>
        <v>annualStatistics_relation</v>
      </c>
      <c r="E373" s="3" t="str">
        <f>Table1[[#This Row],[Calling Node]]&amp;" -&gt; "&amp;Table1[[#This Row],[Called Node]]</f>
        <v>annualStatistics_relation_in_conftest -&gt; annualStatistics_relation_in_relations</v>
      </c>
      <c r="F373">
        <f>VLOOKUP(Table1[[#This Row],[Calling Node]],Nodes!A:D,4,0)</f>
        <v>25</v>
      </c>
      <c r="G373">
        <f>VLOOKUP(Table1[[#This Row],[Calling Node]],Nodes!A:E,5,0)</f>
        <v>7</v>
      </c>
      <c r="H373">
        <f>VLOOKUP(Table1[[#This Row],[Called Node]],Nodes!A:D,4,0)</f>
        <v>24</v>
      </c>
      <c r="I373">
        <f>VLOOKUP(Table1[[#This Row],[Called Node]],Nodes!A:E,5,0)</f>
        <v>2</v>
      </c>
    </row>
    <row r="374" spans="1:9" x14ac:dyDescent="0.3">
      <c r="A374" t="s">
        <v>222</v>
      </c>
      <c r="B374" s="2" t="str">
        <f>VLOOKUP(Table1[[#This Row],[Calling Node]],Nodes!A:B,2,0)</f>
        <v>vendors_relation</v>
      </c>
      <c r="C374" t="s">
        <v>170</v>
      </c>
      <c r="D374" s="2" t="str">
        <f>VLOOKUP(Table1[[#This Row],[Called Node]],Nodes!A:B,2,0)</f>
        <v>vendors_relation</v>
      </c>
      <c r="E374" s="3" t="str">
        <f>Table1[[#This Row],[Calling Node]]&amp;" -&gt; "&amp;Table1[[#This Row],[Called Node]]</f>
        <v>vendors_relation_in_conftest -&gt; vendors_relation_in_relations</v>
      </c>
      <c r="F374">
        <f>VLOOKUP(Table1[[#This Row],[Calling Node]],Nodes!A:D,4,0)</f>
        <v>25</v>
      </c>
      <c r="G374">
        <f>VLOOKUP(Table1[[#This Row],[Calling Node]],Nodes!A:E,5,0)</f>
        <v>8</v>
      </c>
      <c r="H374">
        <f>VLOOKUP(Table1[[#This Row],[Called Node]],Nodes!A:D,4,0)</f>
        <v>24</v>
      </c>
      <c r="I374">
        <f>VLOOKUP(Table1[[#This Row],[Called Node]],Nodes!A:E,5,0)</f>
        <v>3</v>
      </c>
    </row>
    <row r="375" spans="1:9" x14ac:dyDescent="0.3">
      <c r="A375" t="s">
        <v>223</v>
      </c>
      <c r="B375" s="2" t="str">
        <f>VLOOKUP(Table1[[#This Row],[Calling Node]],Nodes!A:B,2,0)</f>
        <v>vendorNotes_relation</v>
      </c>
      <c r="C375" t="s">
        <v>171</v>
      </c>
      <c r="D375" s="2" t="str">
        <f>VLOOKUP(Table1[[#This Row],[Called Node]],Nodes!A:B,2,0)</f>
        <v>vendorNotes_relation</v>
      </c>
      <c r="E375" s="3" t="str">
        <f>Table1[[#This Row],[Calling Node]]&amp;" -&gt; "&amp;Table1[[#This Row],[Called Node]]</f>
        <v>vendorNotes_relation_in_conftest -&gt; vendorNotes_relation_in_relations</v>
      </c>
      <c r="F375">
        <f>VLOOKUP(Table1[[#This Row],[Calling Node]],Nodes!A:D,4,0)</f>
        <v>25</v>
      </c>
      <c r="G375">
        <f>VLOOKUP(Table1[[#This Row],[Calling Node]],Nodes!A:E,5,0)</f>
        <v>9</v>
      </c>
      <c r="H375">
        <f>VLOOKUP(Table1[[#This Row],[Called Node]],Nodes!A:D,4,0)</f>
        <v>24</v>
      </c>
      <c r="I375">
        <f>VLOOKUP(Table1[[#This Row],[Called Node]],Nodes!A:E,5,0)</f>
        <v>4</v>
      </c>
    </row>
    <row r="376" spans="1:9" x14ac:dyDescent="0.3">
      <c r="A376" t="s">
        <v>224</v>
      </c>
      <c r="B376" s="2" t="str">
        <f>VLOOKUP(Table1[[#This Row],[Calling Node]],Nodes!A:B,2,0)</f>
        <v>statisticsSources_relation</v>
      </c>
      <c r="C376" t="s">
        <v>172</v>
      </c>
      <c r="D376" s="2" t="str">
        <f>VLOOKUP(Table1[[#This Row],[Called Node]],Nodes!A:B,2,0)</f>
        <v>statisticsSources_relation</v>
      </c>
      <c r="E376" s="3" t="str">
        <f>Table1[[#This Row],[Calling Node]]&amp;" -&gt; "&amp;Table1[[#This Row],[Called Node]]</f>
        <v>statisticsSources_relation_in_conftest -&gt; statisticsSources_relation_in_relations</v>
      </c>
      <c r="F376">
        <f>VLOOKUP(Table1[[#This Row],[Calling Node]],Nodes!A:D,4,0)</f>
        <v>25</v>
      </c>
      <c r="G376">
        <f>VLOOKUP(Table1[[#This Row],[Calling Node]],Nodes!A:E,5,0)</f>
        <v>10</v>
      </c>
      <c r="H376">
        <f>VLOOKUP(Table1[[#This Row],[Called Node]],Nodes!A:D,4,0)</f>
        <v>24</v>
      </c>
      <c r="I376">
        <f>VLOOKUP(Table1[[#This Row],[Called Node]],Nodes!A:E,5,0)</f>
        <v>5</v>
      </c>
    </row>
    <row r="377" spans="1:9" x14ac:dyDescent="0.3">
      <c r="A377" t="s">
        <v>225</v>
      </c>
      <c r="B377" s="2" t="str">
        <f>VLOOKUP(Table1[[#This Row],[Calling Node]],Nodes!A:B,2,0)</f>
        <v>statisticsSourceNotes_relation</v>
      </c>
      <c r="C377" t="s">
        <v>173</v>
      </c>
      <c r="D377" s="2" t="str">
        <f>VLOOKUP(Table1[[#This Row],[Called Node]],Nodes!A:B,2,0)</f>
        <v>statisticsSourceNotes_relation</v>
      </c>
      <c r="E377" s="3" t="str">
        <f>Table1[[#This Row],[Calling Node]]&amp;" -&gt; "&amp;Table1[[#This Row],[Called Node]]</f>
        <v>statisticsSourceNotes_relation_in_conftest -&gt; statisticsSourceNotes_relation_in_relations</v>
      </c>
      <c r="F377">
        <f>VLOOKUP(Table1[[#This Row],[Calling Node]],Nodes!A:D,4,0)</f>
        <v>25</v>
      </c>
      <c r="G377">
        <f>VLOOKUP(Table1[[#This Row],[Calling Node]],Nodes!A:E,5,0)</f>
        <v>11</v>
      </c>
      <c r="H377">
        <f>VLOOKUP(Table1[[#This Row],[Called Node]],Nodes!A:D,4,0)</f>
        <v>24</v>
      </c>
      <c r="I377">
        <f>VLOOKUP(Table1[[#This Row],[Called Node]],Nodes!A:E,5,0)</f>
        <v>6</v>
      </c>
    </row>
    <row r="378" spans="1:9" x14ac:dyDescent="0.3">
      <c r="A378" t="s">
        <v>226</v>
      </c>
      <c r="B378" s="2" t="str">
        <f>VLOOKUP(Table1[[#This Row],[Calling Node]],Nodes!A:B,2,0)</f>
        <v>resourceSources_relation</v>
      </c>
      <c r="C378" t="s">
        <v>174</v>
      </c>
      <c r="D378" s="2" t="str">
        <f>VLOOKUP(Table1[[#This Row],[Called Node]],Nodes!A:B,2,0)</f>
        <v>resourceSources_relation</v>
      </c>
      <c r="E378" s="3" t="str">
        <f>Table1[[#This Row],[Calling Node]]&amp;" -&gt; "&amp;Table1[[#This Row],[Called Node]]</f>
        <v>resourceSources_relation_in_conftest -&gt; resourceSources_relation_in_relations</v>
      </c>
      <c r="F378">
        <f>VLOOKUP(Table1[[#This Row],[Calling Node]],Nodes!A:D,4,0)</f>
        <v>25</v>
      </c>
      <c r="G378">
        <f>VLOOKUP(Table1[[#This Row],[Calling Node]],Nodes!A:E,5,0)</f>
        <v>12</v>
      </c>
      <c r="H378">
        <f>VLOOKUP(Table1[[#This Row],[Called Node]],Nodes!A:D,4,0)</f>
        <v>24</v>
      </c>
      <c r="I378">
        <f>VLOOKUP(Table1[[#This Row],[Called Node]],Nodes!A:E,5,0)</f>
        <v>7</v>
      </c>
    </row>
    <row r="379" spans="1:9" x14ac:dyDescent="0.3">
      <c r="A379" t="s">
        <v>227</v>
      </c>
      <c r="B379" s="2" t="str">
        <f>VLOOKUP(Table1[[#This Row],[Calling Node]],Nodes!A:B,2,0)</f>
        <v>resourceSourceNotes_relation</v>
      </c>
      <c r="C379" t="s">
        <v>175</v>
      </c>
      <c r="D379" s="2" t="str">
        <f>VLOOKUP(Table1[[#This Row],[Called Node]],Nodes!A:B,2,0)</f>
        <v>resourceSourceNotes_relation</v>
      </c>
      <c r="E379" s="3" t="str">
        <f>Table1[[#This Row],[Calling Node]]&amp;" -&gt; "&amp;Table1[[#This Row],[Called Node]]</f>
        <v>resourceSourceNotes_relation_in_conftest -&gt; resourceSourceNotes_relation_in_relations</v>
      </c>
      <c r="F379">
        <f>VLOOKUP(Table1[[#This Row],[Calling Node]],Nodes!A:D,4,0)</f>
        <v>25</v>
      </c>
      <c r="G379">
        <f>VLOOKUP(Table1[[#This Row],[Calling Node]],Nodes!A:E,5,0)</f>
        <v>13</v>
      </c>
      <c r="H379">
        <f>VLOOKUP(Table1[[#This Row],[Called Node]],Nodes!A:D,4,0)</f>
        <v>24</v>
      </c>
      <c r="I379">
        <f>VLOOKUP(Table1[[#This Row],[Called Node]],Nodes!A:E,5,0)</f>
        <v>8</v>
      </c>
    </row>
    <row r="380" spans="1:9" x14ac:dyDescent="0.3">
      <c r="A380" t="s">
        <v>228</v>
      </c>
      <c r="B380" s="2" t="str">
        <f>VLOOKUP(Table1[[#This Row],[Calling Node]],Nodes!A:B,2,0)</f>
        <v>statisticsResourceSources_relation</v>
      </c>
      <c r="C380" t="s">
        <v>176</v>
      </c>
      <c r="D380" s="2" t="str">
        <f>VLOOKUP(Table1[[#This Row],[Called Node]],Nodes!A:B,2,0)</f>
        <v>statisticsResourceSources_relation</v>
      </c>
      <c r="E380" s="3" t="str">
        <f>Table1[[#This Row],[Calling Node]]&amp;" -&gt; "&amp;Table1[[#This Row],[Called Node]]</f>
        <v>statisticsResourceSources_relation_in_conftest -&gt; statisticsResourceSources_relation_in_relations</v>
      </c>
      <c r="F380">
        <f>VLOOKUP(Table1[[#This Row],[Calling Node]],Nodes!A:D,4,0)</f>
        <v>25</v>
      </c>
      <c r="G380">
        <f>VLOOKUP(Table1[[#This Row],[Calling Node]],Nodes!A:E,5,0)</f>
        <v>14</v>
      </c>
      <c r="H380">
        <f>VLOOKUP(Table1[[#This Row],[Called Node]],Nodes!A:D,4,0)</f>
        <v>24</v>
      </c>
      <c r="I380">
        <f>VLOOKUP(Table1[[#This Row],[Called Node]],Nodes!A:E,5,0)</f>
        <v>9</v>
      </c>
    </row>
    <row r="381" spans="1:9" x14ac:dyDescent="0.3">
      <c r="A381" t="s">
        <v>229</v>
      </c>
      <c r="B381" s="2" t="str">
        <f>VLOOKUP(Table1[[#This Row],[Calling Node]],Nodes!A:B,2,0)</f>
        <v>annualUsageCollectionTracking_relation</v>
      </c>
      <c r="C381" t="s">
        <v>177</v>
      </c>
      <c r="D381" s="2" t="str">
        <f>VLOOKUP(Table1[[#This Row],[Called Node]],Nodes!A:B,2,0)</f>
        <v>annualUsageCollectionTracking_relation</v>
      </c>
      <c r="E381" s="3" t="str">
        <f>Table1[[#This Row],[Calling Node]]&amp;" -&gt; "&amp;Table1[[#This Row],[Called Node]]</f>
        <v>annualUsageCollectionTracking_relation_in_conftest -&gt; annualUsageCollectionTracking_relation_in_relations</v>
      </c>
      <c r="F381">
        <f>VLOOKUP(Table1[[#This Row],[Calling Node]],Nodes!A:D,4,0)</f>
        <v>25</v>
      </c>
      <c r="G381">
        <f>VLOOKUP(Table1[[#This Row],[Calling Node]],Nodes!A:E,5,0)</f>
        <v>15</v>
      </c>
      <c r="H381">
        <f>VLOOKUP(Table1[[#This Row],[Called Node]],Nodes!A:D,4,0)</f>
        <v>24</v>
      </c>
      <c r="I381">
        <f>VLOOKUP(Table1[[#This Row],[Called Node]],Nodes!A:E,5,0)</f>
        <v>10</v>
      </c>
    </row>
    <row r="382" spans="1:9" x14ac:dyDescent="0.3">
      <c r="A382" t="s">
        <v>230</v>
      </c>
      <c r="B382" s="2" t="str">
        <f>VLOOKUP(Table1[[#This Row],[Calling Node]],Nodes!A:B,2,0)</f>
        <v>workbook_0_2017_relation</v>
      </c>
      <c r="C382" t="s">
        <v>178</v>
      </c>
      <c r="D382" s="2" t="str">
        <f>VLOOKUP(Table1[[#This Row],[Called Node]],Nodes!A:B,2,0)</f>
        <v>workbook_0_2017_relation</v>
      </c>
      <c r="E382" s="3" t="str">
        <f>Table1[[#This Row],[Calling Node]]&amp;" -&gt; "&amp;Table1[[#This Row],[Called Node]]</f>
        <v>workbook_0_2017_relation_in_conftest -&gt; workbook_0_2017_relation_in_relations</v>
      </c>
      <c r="F382">
        <f>VLOOKUP(Table1[[#This Row],[Calling Node]],Nodes!A:D,4,0)</f>
        <v>25</v>
      </c>
      <c r="G382">
        <f>VLOOKUP(Table1[[#This Row],[Calling Node]],Nodes!A:E,5,0)</f>
        <v>16</v>
      </c>
      <c r="H382">
        <f>VLOOKUP(Table1[[#This Row],[Called Node]],Nodes!A:D,4,0)</f>
        <v>24</v>
      </c>
      <c r="I382">
        <f>VLOOKUP(Table1[[#This Row],[Called Node]],Nodes!A:E,5,0)</f>
        <v>11</v>
      </c>
    </row>
    <row r="383" spans="1:9" x14ac:dyDescent="0.3">
      <c r="A383" t="s">
        <v>231</v>
      </c>
      <c r="B383" s="2" t="str">
        <f>VLOOKUP(Table1[[#This Row],[Calling Node]],Nodes!A:B,2,0)</f>
        <v>workbook_1_2017_relation</v>
      </c>
      <c r="C383" t="s">
        <v>179</v>
      </c>
      <c r="D383" s="2" t="str">
        <f>VLOOKUP(Table1[[#This Row],[Called Node]],Nodes!A:B,2,0)</f>
        <v>workbook_1_2017_relation</v>
      </c>
      <c r="E383" s="3" t="str">
        <f>Table1[[#This Row],[Calling Node]]&amp;" -&gt; "&amp;Table1[[#This Row],[Called Node]]</f>
        <v>workbook_1_2017_relation_in_conftest -&gt; workbook_1_2017_relation_in_relations</v>
      </c>
      <c r="F383">
        <f>VLOOKUP(Table1[[#This Row],[Calling Node]],Nodes!A:D,4,0)</f>
        <v>25</v>
      </c>
      <c r="G383">
        <f>VLOOKUP(Table1[[#This Row],[Calling Node]],Nodes!A:E,5,0)</f>
        <v>17</v>
      </c>
      <c r="H383">
        <f>VLOOKUP(Table1[[#This Row],[Called Node]],Nodes!A:D,4,0)</f>
        <v>24</v>
      </c>
      <c r="I383">
        <f>VLOOKUP(Table1[[#This Row],[Called Node]],Nodes!A:E,5,0)</f>
        <v>12</v>
      </c>
    </row>
    <row r="384" spans="1:9" x14ac:dyDescent="0.3">
      <c r="A384" t="s">
        <v>232</v>
      </c>
      <c r="B384" s="2" t="str">
        <f>VLOOKUP(Table1[[#This Row],[Calling Node]],Nodes!A:B,2,0)</f>
        <v>workbook_2_2017_relation</v>
      </c>
      <c r="C384" t="s">
        <v>180</v>
      </c>
      <c r="D384" s="2" t="str">
        <f>VLOOKUP(Table1[[#This Row],[Called Node]],Nodes!A:B,2,0)</f>
        <v>workbook_2_2017_relation</v>
      </c>
      <c r="E384" s="3" t="str">
        <f>Table1[[#This Row],[Calling Node]]&amp;" -&gt; "&amp;Table1[[#This Row],[Called Node]]</f>
        <v>workbook_2_2017_relation_in_conftest -&gt; workbook_2_2017_relation_in_relations</v>
      </c>
      <c r="F384">
        <f>VLOOKUP(Table1[[#This Row],[Calling Node]],Nodes!A:D,4,0)</f>
        <v>25</v>
      </c>
      <c r="G384">
        <f>VLOOKUP(Table1[[#This Row],[Calling Node]],Nodes!A:E,5,0)</f>
        <v>18</v>
      </c>
      <c r="H384">
        <f>VLOOKUP(Table1[[#This Row],[Called Node]],Nodes!A:D,4,0)</f>
        <v>24</v>
      </c>
      <c r="I384">
        <f>VLOOKUP(Table1[[#This Row],[Called Node]],Nodes!A:E,5,0)</f>
        <v>13</v>
      </c>
    </row>
    <row r="385" spans="1:9" x14ac:dyDescent="0.3">
      <c r="A385" t="s">
        <v>233</v>
      </c>
      <c r="B385" s="2" t="str">
        <f>VLOOKUP(Table1[[#This Row],[Calling Node]],Nodes!A:B,2,0)</f>
        <v>workbook_0_2018_relation</v>
      </c>
      <c r="C385" t="s">
        <v>181</v>
      </c>
      <c r="D385" s="2" t="str">
        <f>VLOOKUP(Table1[[#This Row],[Called Node]],Nodes!A:B,2,0)</f>
        <v>workbook_0_2018_relation</v>
      </c>
      <c r="E385" s="3" t="str">
        <f>Table1[[#This Row],[Calling Node]]&amp;" -&gt; "&amp;Table1[[#This Row],[Called Node]]</f>
        <v>workbook_0_2018_relation_in_conftest -&gt; workbook_0_2018_relation_in_relations</v>
      </c>
      <c r="F385">
        <f>VLOOKUP(Table1[[#This Row],[Calling Node]],Nodes!A:D,4,0)</f>
        <v>25</v>
      </c>
      <c r="G385">
        <f>VLOOKUP(Table1[[#This Row],[Calling Node]],Nodes!A:E,5,0)</f>
        <v>19</v>
      </c>
      <c r="H385">
        <f>VLOOKUP(Table1[[#This Row],[Called Node]],Nodes!A:D,4,0)</f>
        <v>24</v>
      </c>
      <c r="I385">
        <f>VLOOKUP(Table1[[#This Row],[Called Node]],Nodes!A:E,5,0)</f>
        <v>14</v>
      </c>
    </row>
    <row r="386" spans="1:9" x14ac:dyDescent="0.3">
      <c r="A386" t="s">
        <v>234</v>
      </c>
      <c r="B386" s="2" t="str">
        <f>VLOOKUP(Table1[[#This Row],[Calling Node]],Nodes!A:B,2,0)</f>
        <v>workbook_1_2018_relation</v>
      </c>
      <c r="C386" t="s">
        <v>182</v>
      </c>
      <c r="D386" s="2" t="str">
        <f>VLOOKUP(Table1[[#This Row],[Called Node]],Nodes!A:B,2,0)</f>
        <v>workbook_1_2018_relation</v>
      </c>
      <c r="E386" s="3" t="str">
        <f>Table1[[#This Row],[Calling Node]]&amp;" -&gt; "&amp;Table1[[#This Row],[Called Node]]</f>
        <v>workbook_1_2018_relation_in_conftest -&gt; workbook_1_2018_relation_in_relations</v>
      </c>
      <c r="F386">
        <f>VLOOKUP(Table1[[#This Row],[Calling Node]],Nodes!A:D,4,0)</f>
        <v>25</v>
      </c>
      <c r="G386">
        <f>VLOOKUP(Table1[[#This Row],[Calling Node]],Nodes!A:E,5,0)</f>
        <v>20</v>
      </c>
      <c r="H386">
        <f>VLOOKUP(Table1[[#This Row],[Called Node]],Nodes!A:D,4,0)</f>
        <v>24</v>
      </c>
      <c r="I386">
        <f>VLOOKUP(Table1[[#This Row],[Called Node]],Nodes!A:E,5,0)</f>
        <v>15</v>
      </c>
    </row>
    <row r="387" spans="1:9" x14ac:dyDescent="0.3">
      <c r="A387" t="s">
        <v>235</v>
      </c>
      <c r="B387" s="2" t="str">
        <f>VLOOKUP(Table1[[#This Row],[Calling Node]],Nodes!A:B,2,0)</f>
        <v>workbook_2_2018_relation</v>
      </c>
      <c r="C387" t="s">
        <v>183</v>
      </c>
      <c r="D387" s="2" t="str">
        <f>VLOOKUP(Table1[[#This Row],[Called Node]],Nodes!A:B,2,0)</f>
        <v>workbook_2_2018_relation</v>
      </c>
      <c r="E387" s="3" t="str">
        <f>Table1[[#This Row],[Calling Node]]&amp;" -&gt; "&amp;Table1[[#This Row],[Called Node]]</f>
        <v>workbook_2_2018_relation_in_conftest -&gt; workbook_2_2018_relation_in_relations</v>
      </c>
      <c r="F387">
        <f>VLOOKUP(Table1[[#This Row],[Calling Node]],Nodes!A:D,4,0)</f>
        <v>25</v>
      </c>
      <c r="G387">
        <f>VLOOKUP(Table1[[#This Row],[Calling Node]],Nodes!A:E,5,0)</f>
        <v>21</v>
      </c>
      <c r="H387">
        <f>VLOOKUP(Table1[[#This Row],[Called Node]],Nodes!A:D,4,0)</f>
        <v>24</v>
      </c>
      <c r="I387">
        <f>VLOOKUP(Table1[[#This Row],[Called Node]],Nodes!A:E,5,0)</f>
        <v>16</v>
      </c>
    </row>
    <row r="388" spans="1:9" x14ac:dyDescent="0.3">
      <c r="A388" t="s">
        <v>236</v>
      </c>
      <c r="B388" s="2" t="str">
        <f>VLOOKUP(Table1[[#This Row],[Calling Node]],Nodes!A:B,2,0)</f>
        <v>workbook_0_2019_relation</v>
      </c>
      <c r="C388" t="s">
        <v>184</v>
      </c>
      <c r="D388" s="2" t="str">
        <f>VLOOKUP(Table1[[#This Row],[Called Node]],Nodes!A:B,2,0)</f>
        <v>workbook_0_2019_relation</v>
      </c>
      <c r="E388" s="3" t="str">
        <f>Table1[[#This Row],[Calling Node]]&amp;" -&gt; "&amp;Table1[[#This Row],[Called Node]]</f>
        <v>workbook_0_2019_relation_in_conftest -&gt; workbook_0_2019_relation_in_relations</v>
      </c>
      <c r="F388">
        <f>VLOOKUP(Table1[[#This Row],[Calling Node]],Nodes!A:D,4,0)</f>
        <v>25</v>
      </c>
      <c r="G388">
        <f>VLOOKUP(Table1[[#This Row],[Calling Node]],Nodes!A:E,5,0)</f>
        <v>22</v>
      </c>
      <c r="H388">
        <f>VLOOKUP(Table1[[#This Row],[Called Node]],Nodes!A:D,4,0)</f>
        <v>24</v>
      </c>
      <c r="I388">
        <f>VLOOKUP(Table1[[#This Row],[Called Node]],Nodes!A:E,5,0)</f>
        <v>17</v>
      </c>
    </row>
    <row r="389" spans="1:9" x14ac:dyDescent="0.3">
      <c r="A389" t="s">
        <v>237</v>
      </c>
      <c r="B389" s="2" t="str">
        <f>VLOOKUP(Table1[[#This Row],[Calling Node]],Nodes!A:B,2,0)</f>
        <v>workbook_1_2019_relation</v>
      </c>
      <c r="C389" t="s">
        <v>185</v>
      </c>
      <c r="D389" s="2" t="str">
        <f>VLOOKUP(Table1[[#This Row],[Called Node]],Nodes!A:B,2,0)</f>
        <v>workbook_1_2019_relation</v>
      </c>
      <c r="E389" s="3" t="str">
        <f>Table1[[#This Row],[Calling Node]]&amp;" -&gt; "&amp;Table1[[#This Row],[Called Node]]</f>
        <v>workbook_1_2019_relation_in_conftest -&gt; workbook_1_2019_relation_in_relations</v>
      </c>
      <c r="F389">
        <f>VLOOKUP(Table1[[#This Row],[Calling Node]],Nodes!A:D,4,0)</f>
        <v>25</v>
      </c>
      <c r="G389">
        <f>VLOOKUP(Table1[[#This Row],[Calling Node]],Nodes!A:E,5,0)</f>
        <v>23</v>
      </c>
      <c r="H389">
        <f>VLOOKUP(Table1[[#This Row],[Called Node]],Nodes!A:D,4,0)</f>
        <v>24</v>
      </c>
      <c r="I389">
        <f>VLOOKUP(Table1[[#This Row],[Called Node]],Nodes!A:E,5,0)</f>
        <v>18</v>
      </c>
    </row>
    <row r="390" spans="1:9" x14ac:dyDescent="0.3">
      <c r="A390" t="s">
        <v>238</v>
      </c>
      <c r="B390" s="2" t="str">
        <f>VLOOKUP(Table1[[#This Row],[Calling Node]],Nodes!A:B,2,0)</f>
        <v>workbook_2_2019_relation</v>
      </c>
      <c r="C390" t="s">
        <v>186</v>
      </c>
      <c r="D390" s="2" t="str">
        <f>VLOOKUP(Table1[[#This Row],[Called Node]],Nodes!A:B,2,0)</f>
        <v>workbook_2_2019_relation</v>
      </c>
      <c r="E390" s="3" t="str">
        <f>Table1[[#This Row],[Calling Node]]&amp;" -&gt; "&amp;Table1[[#This Row],[Called Node]]</f>
        <v>workbook_2_2019_relation_in_conftest -&gt; workbook_2_2019_relation_in_relations</v>
      </c>
      <c r="F390">
        <f>VLOOKUP(Table1[[#This Row],[Calling Node]],Nodes!A:D,4,0)</f>
        <v>25</v>
      </c>
      <c r="G390">
        <f>VLOOKUP(Table1[[#This Row],[Calling Node]],Nodes!A:E,5,0)</f>
        <v>24</v>
      </c>
      <c r="H390">
        <f>VLOOKUP(Table1[[#This Row],[Called Node]],Nodes!A:D,4,0)</f>
        <v>24</v>
      </c>
      <c r="I390">
        <f>VLOOKUP(Table1[[#This Row],[Called Node]],Nodes!A:E,5,0)</f>
        <v>19</v>
      </c>
    </row>
    <row r="391" spans="1:9" x14ac:dyDescent="0.3">
      <c r="A391" t="s">
        <v>239</v>
      </c>
      <c r="B391" s="2" t="str">
        <f>VLOOKUP(Table1[[#This Row],[Calling Node]],Nodes!A:B,2,0)</f>
        <v>workbook_3_2019_relation</v>
      </c>
      <c r="C391" t="s">
        <v>187</v>
      </c>
      <c r="D391" s="2" t="str">
        <f>VLOOKUP(Table1[[#This Row],[Called Node]],Nodes!A:B,2,0)</f>
        <v>workbook_3_2019_relation</v>
      </c>
      <c r="E391" s="3" t="str">
        <f>Table1[[#This Row],[Calling Node]]&amp;" -&gt; "&amp;Table1[[#This Row],[Called Node]]</f>
        <v>workbook_3_2019_relation_in_conftest -&gt; workbook_3_2019_relation_in_relations</v>
      </c>
      <c r="F391">
        <f>VLOOKUP(Table1[[#This Row],[Calling Node]],Nodes!A:D,4,0)</f>
        <v>25</v>
      </c>
      <c r="G391">
        <f>VLOOKUP(Table1[[#This Row],[Calling Node]],Nodes!A:E,5,0)</f>
        <v>25</v>
      </c>
      <c r="H391">
        <f>VLOOKUP(Table1[[#This Row],[Called Node]],Nodes!A:D,4,0)</f>
        <v>24</v>
      </c>
      <c r="I391">
        <f>VLOOKUP(Table1[[#This Row],[Called Node]],Nodes!A:E,5,0)</f>
        <v>20</v>
      </c>
    </row>
    <row r="392" spans="1:9" x14ac:dyDescent="0.3">
      <c r="A392" t="s">
        <v>240</v>
      </c>
      <c r="B392" s="2" t="str">
        <f>VLOOKUP(Table1[[#This Row],[Calling Node]],Nodes!A:B,2,0)</f>
        <v>workbook_0_2020_relation</v>
      </c>
      <c r="C392" t="s">
        <v>188</v>
      </c>
      <c r="D392" s="2" t="str">
        <f>VLOOKUP(Table1[[#This Row],[Called Node]],Nodes!A:B,2,0)</f>
        <v>workbook_0_2020_relation</v>
      </c>
      <c r="E392" s="3" t="str">
        <f>Table1[[#This Row],[Calling Node]]&amp;" -&gt; "&amp;Table1[[#This Row],[Called Node]]</f>
        <v>workbook_0_2020_relation_in_conftest -&gt; workbook_0_2020_relation_in_relations</v>
      </c>
      <c r="F392">
        <f>VLOOKUP(Table1[[#This Row],[Calling Node]],Nodes!A:D,4,0)</f>
        <v>25</v>
      </c>
      <c r="G392">
        <f>VLOOKUP(Table1[[#This Row],[Calling Node]],Nodes!A:E,5,0)</f>
        <v>26</v>
      </c>
      <c r="H392">
        <f>VLOOKUP(Table1[[#This Row],[Called Node]],Nodes!A:D,4,0)</f>
        <v>24</v>
      </c>
      <c r="I392">
        <f>VLOOKUP(Table1[[#This Row],[Called Node]],Nodes!A:E,5,0)</f>
        <v>21</v>
      </c>
    </row>
    <row r="393" spans="1:9" x14ac:dyDescent="0.3">
      <c r="A393" t="s">
        <v>241</v>
      </c>
      <c r="B393" s="2" t="str">
        <f>VLOOKUP(Table1[[#This Row],[Calling Node]],Nodes!A:B,2,0)</f>
        <v>workbook_1_2020_relation</v>
      </c>
      <c r="C393" t="s">
        <v>189</v>
      </c>
      <c r="D393" s="2" t="str">
        <f>VLOOKUP(Table1[[#This Row],[Called Node]],Nodes!A:B,2,0)</f>
        <v>workbook_1_2020_relation</v>
      </c>
      <c r="E393" s="3" t="str">
        <f>Table1[[#This Row],[Calling Node]]&amp;" -&gt; "&amp;Table1[[#This Row],[Called Node]]</f>
        <v>workbook_1_2020_relation_in_conftest -&gt; workbook_1_2020_relation_in_relations</v>
      </c>
      <c r="F393">
        <f>VLOOKUP(Table1[[#This Row],[Calling Node]],Nodes!A:D,4,0)</f>
        <v>25</v>
      </c>
      <c r="G393">
        <f>VLOOKUP(Table1[[#This Row],[Calling Node]],Nodes!A:E,5,0)</f>
        <v>27</v>
      </c>
      <c r="H393">
        <f>VLOOKUP(Table1[[#This Row],[Called Node]],Nodes!A:D,4,0)</f>
        <v>24</v>
      </c>
      <c r="I393">
        <f>VLOOKUP(Table1[[#This Row],[Called Node]],Nodes!A:E,5,0)</f>
        <v>22</v>
      </c>
    </row>
    <row r="394" spans="1:9" x14ac:dyDescent="0.3">
      <c r="A394" t="s">
        <v>242</v>
      </c>
      <c r="B394" s="2" t="str">
        <f>VLOOKUP(Table1[[#This Row],[Calling Node]],Nodes!A:B,2,0)</f>
        <v>workbook_2_2020_relation</v>
      </c>
      <c r="C394" t="s">
        <v>190</v>
      </c>
      <c r="D394" s="2" t="str">
        <f>VLOOKUP(Table1[[#This Row],[Called Node]],Nodes!A:B,2,0)</f>
        <v>workbook_2_2020_relation</v>
      </c>
      <c r="E394" s="3" t="str">
        <f>Table1[[#This Row],[Calling Node]]&amp;" -&gt; "&amp;Table1[[#This Row],[Called Node]]</f>
        <v>workbook_2_2020_relation_in_conftest -&gt; workbook_2_2020_relation_in_relations</v>
      </c>
      <c r="F394">
        <f>VLOOKUP(Table1[[#This Row],[Calling Node]],Nodes!A:D,4,0)</f>
        <v>25</v>
      </c>
      <c r="G394">
        <f>VLOOKUP(Table1[[#This Row],[Calling Node]],Nodes!A:E,5,0)</f>
        <v>28</v>
      </c>
      <c r="H394">
        <f>VLOOKUP(Table1[[#This Row],[Called Node]],Nodes!A:D,4,0)</f>
        <v>24</v>
      </c>
      <c r="I394">
        <f>VLOOKUP(Table1[[#This Row],[Called Node]],Nodes!A:E,5,0)</f>
        <v>23</v>
      </c>
    </row>
    <row r="395" spans="1:9" x14ac:dyDescent="0.3">
      <c r="A395" t="s">
        <v>243</v>
      </c>
      <c r="B395" s="2" t="str">
        <f>VLOOKUP(Table1[[#This Row],[Calling Node]],Nodes!A:B,2,0)</f>
        <v>workbook_3_2020_relation</v>
      </c>
      <c r="C395" t="s">
        <v>191</v>
      </c>
      <c r="D395" s="2" t="str">
        <f>VLOOKUP(Table1[[#This Row],[Called Node]],Nodes!A:B,2,0)</f>
        <v>workbook_3_2020_relation</v>
      </c>
      <c r="E395" s="3" t="str">
        <f>Table1[[#This Row],[Calling Node]]&amp;" -&gt; "&amp;Table1[[#This Row],[Called Node]]</f>
        <v>workbook_3_2020_relation_in_conftest -&gt; workbook_3_2020_relation_in_relations</v>
      </c>
      <c r="F395">
        <f>VLOOKUP(Table1[[#This Row],[Calling Node]],Nodes!A:D,4,0)</f>
        <v>25</v>
      </c>
      <c r="G395">
        <f>VLOOKUP(Table1[[#This Row],[Calling Node]],Nodes!A:E,5,0)</f>
        <v>29</v>
      </c>
      <c r="H395">
        <f>VLOOKUP(Table1[[#This Row],[Called Node]],Nodes!A:D,4,0)</f>
        <v>24</v>
      </c>
      <c r="I395">
        <f>VLOOKUP(Table1[[#This Row],[Called Node]],Nodes!A:E,5,0)</f>
        <v>24</v>
      </c>
    </row>
    <row r="396" spans="1:9" x14ac:dyDescent="0.3">
      <c r="A396" t="s">
        <v>244</v>
      </c>
      <c r="B396" t="str">
        <f>VLOOKUP(Table1[[#This Row],[Calling Node]],Nodes!A:B,2,0)</f>
        <v>workbooks_and_relations</v>
      </c>
      <c r="C396" t="s">
        <v>230</v>
      </c>
      <c r="D396" s="2" t="str">
        <f>VLOOKUP(Table1[[#This Row],[Called Node]],Nodes!A:B,2,0)</f>
        <v>workbook_0_2017_relation</v>
      </c>
      <c r="E396" s="3" t="str">
        <f>Table1[[#This Row],[Calling Node]]&amp;" -&gt; "&amp;Table1[[#This Row],[Called Node]]</f>
        <v>workbooks_and_relations -&gt; workbook_0_2017_relation_in_conftest</v>
      </c>
      <c r="F396">
        <f>VLOOKUP(Table1[[#This Row],[Calling Node]],Nodes!A:D,4,0)</f>
        <v>25</v>
      </c>
      <c r="G396">
        <f>VLOOKUP(Table1[[#This Row],[Calling Node]],Nodes!A:E,5,0)</f>
        <v>30</v>
      </c>
      <c r="H396">
        <f>VLOOKUP(Table1[[#This Row],[Called Node]],Nodes!A:D,4,0)</f>
        <v>25</v>
      </c>
      <c r="I396">
        <f>VLOOKUP(Table1[[#This Row],[Called Node]],Nodes!A:E,5,0)</f>
        <v>16</v>
      </c>
    </row>
    <row r="397" spans="1:9" x14ac:dyDescent="0.3">
      <c r="A397" t="s">
        <v>244</v>
      </c>
      <c r="B397" t="str">
        <f>VLOOKUP(Table1[[#This Row],[Calling Node]],Nodes!A:B,2,0)</f>
        <v>workbooks_and_relations</v>
      </c>
      <c r="C397" t="s">
        <v>231</v>
      </c>
      <c r="D397" s="2" t="str">
        <f>VLOOKUP(Table1[[#This Row],[Called Node]],Nodes!A:B,2,0)</f>
        <v>workbook_1_2017_relation</v>
      </c>
      <c r="E397" s="3" t="str">
        <f>Table1[[#This Row],[Calling Node]]&amp;" -&gt; "&amp;Table1[[#This Row],[Called Node]]</f>
        <v>workbooks_and_relations -&gt; workbook_1_2017_relation_in_conftest</v>
      </c>
      <c r="F397">
        <f>VLOOKUP(Table1[[#This Row],[Calling Node]],Nodes!A:D,4,0)</f>
        <v>25</v>
      </c>
      <c r="G397">
        <f>VLOOKUP(Table1[[#This Row],[Calling Node]],Nodes!A:E,5,0)</f>
        <v>30</v>
      </c>
      <c r="H397">
        <f>VLOOKUP(Table1[[#This Row],[Called Node]],Nodes!A:D,4,0)</f>
        <v>25</v>
      </c>
      <c r="I397">
        <f>VLOOKUP(Table1[[#This Row],[Called Node]],Nodes!A:E,5,0)</f>
        <v>17</v>
      </c>
    </row>
    <row r="398" spans="1:9" x14ac:dyDescent="0.3">
      <c r="A398" t="s">
        <v>244</v>
      </c>
      <c r="B398" t="str">
        <f>VLOOKUP(Table1[[#This Row],[Calling Node]],Nodes!A:B,2,0)</f>
        <v>workbooks_and_relations</v>
      </c>
      <c r="C398" t="s">
        <v>232</v>
      </c>
      <c r="D398" s="2" t="str">
        <f>VLOOKUP(Table1[[#This Row],[Called Node]],Nodes!A:B,2,0)</f>
        <v>workbook_2_2017_relation</v>
      </c>
      <c r="E398" s="3" t="str">
        <f>Table1[[#This Row],[Calling Node]]&amp;" -&gt; "&amp;Table1[[#This Row],[Called Node]]</f>
        <v>workbooks_and_relations -&gt; workbook_2_2017_relation_in_conftest</v>
      </c>
      <c r="F398">
        <f>VLOOKUP(Table1[[#This Row],[Calling Node]],Nodes!A:D,4,0)</f>
        <v>25</v>
      </c>
      <c r="G398">
        <f>VLOOKUP(Table1[[#This Row],[Calling Node]],Nodes!A:E,5,0)</f>
        <v>30</v>
      </c>
      <c r="H398">
        <f>VLOOKUP(Table1[[#This Row],[Called Node]],Nodes!A:D,4,0)</f>
        <v>25</v>
      </c>
      <c r="I398">
        <f>VLOOKUP(Table1[[#This Row],[Called Node]],Nodes!A:E,5,0)</f>
        <v>18</v>
      </c>
    </row>
    <row r="399" spans="1:9" x14ac:dyDescent="0.3">
      <c r="A399" t="s">
        <v>244</v>
      </c>
      <c r="B399" t="str">
        <f>VLOOKUP(Table1[[#This Row],[Calling Node]],Nodes!A:B,2,0)</f>
        <v>workbooks_and_relations</v>
      </c>
      <c r="C399" t="s">
        <v>233</v>
      </c>
      <c r="D399" s="2" t="str">
        <f>VLOOKUP(Table1[[#This Row],[Called Node]],Nodes!A:B,2,0)</f>
        <v>workbook_0_2018_relation</v>
      </c>
      <c r="E399" s="3" t="str">
        <f>Table1[[#This Row],[Calling Node]]&amp;" -&gt; "&amp;Table1[[#This Row],[Called Node]]</f>
        <v>workbooks_and_relations -&gt; workbook_0_2018_relation_in_conftest</v>
      </c>
      <c r="F399">
        <f>VLOOKUP(Table1[[#This Row],[Calling Node]],Nodes!A:D,4,0)</f>
        <v>25</v>
      </c>
      <c r="G399">
        <f>VLOOKUP(Table1[[#This Row],[Calling Node]],Nodes!A:E,5,0)</f>
        <v>30</v>
      </c>
      <c r="H399">
        <f>VLOOKUP(Table1[[#This Row],[Called Node]],Nodes!A:D,4,0)</f>
        <v>25</v>
      </c>
      <c r="I399">
        <f>VLOOKUP(Table1[[#This Row],[Called Node]],Nodes!A:E,5,0)</f>
        <v>19</v>
      </c>
    </row>
    <row r="400" spans="1:9" x14ac:dyDescent="0.3">
      <c r="A400" t="s">
        <v>244</v>
      </c>
      <c r="B400" t="str">
        <f>VLOOKUP(Table1[[#This Row],[Calling Node]],Nodes!A:B,2,0)</f>
        <v>workbooks_and_relations</v>
      </c>
      <c r="C400" t="s">
        <v>234</v>
      </c>
      <c r="D400" s="2" t="str">
        <f>VLOOKUP(Table1[[#This Row],[Called Node]],Nodes!A:B,2,0)</f>
        <v>workbook_1_2018_relation</v>
      </c>
      <c r="E400" s="3" t="str">
        <f>Table1[[#This Row],[Calling Node]]&amp;" -&gt; "&amp;Table1[[#This Row],[Called Node]]</f>
        <v>workbooks_and_relations -&gt; workbook_1_2018_relation_in_conftest</v>
      </c>
      <c r="F400">
        <f>VLOOKUP(Table1[[#This Row],[Calling Node]],Nodes!A:D,4,0)</f>
        <v>25</v>
      </c>
      <c r="G400">
        <f>VLOOKUP(Table1[[#This Row],[Calling Node]],Nodes!A:E,5,0)</f>
        <v>30</v>
      </c>
      <c r="H400">
        <f>VLOOKUP(Table1[[#This Row],[Called Node]],Nodes!A:D,4,0)</f>
        <v>25</v>
      </c>
      <c r="I400">
        <f>VLOOKUP(Table1[[#This Row],[Called Node]],Nodes!A:E,5,0)</f>
        <v>20</v>
      </c>
    </row>
    <row r="401" spans="1:9" x14ac:dyDescent="0.3">
      <c r="A401" t="s">
        <v>244</v>
      </c>
      <c r="B401" t="str">
        <f>VLOOKUP(Table1[[#This Row],[Calling Node]],Nodes!A:B,2,0)</f>
        <v>workbooks_and_relations</v>
      </c>
      <c r="C401" t="s">
        <v>235</v>
      </c>
      <c r="D401" s="2" t="str">
        <f>VLOOKUP(Table1[[#This Row],[Called Node]],Nodes!A:B,2,0)</f>
        <v>workbook_2_2018_relation</v>
      </c>
      <c r="E401" s="3" t="str">
        <f>Table1[[#This Row],[Calling Node]]&amp;" -&gt; "&amp;Table1[[#This Row],[Called Node]]</f>
        <v>workbooks_and_relations -&gt; workbook_2_2018_relation_in_conftest</v>
      </c>
      <c r="F401">
        <f>VLOOKUP(Table1[[#This Row],[Calling Node]],Nodes!A:D,4,0)</f>
        <v>25</v>
      </c>
      <c r="G401">
        <f>VLOOKUP(Table1[[#This Row],[Calling Node]],Nodes!A:E,5,0)</f>
        <v>30</v>
      </c>
      <c r="H401">
        <f>VLOOKUP(Table1[[#This Row],[Called Node]],Nodes!A:D,4,0)</f>
        <v>25</v>
      </c>
      <c r="I401">
        <f>VLOOKUP(Table1[[#This Row],[Called Node]],Nodes!A:E,5,0)</f>
        <v>21</v>
      </c>
    </row>
    <row r="402" spans="1:9" x14ac:dyDescent="0.3">
      <c r="A402" t="s">
        <v>244</v>
      </c>
      <c r="B402" t="str">
        <f>VLOOKUP(Table1[[#This Row],[Calling Node]],Nodes!A:B,2,0)</f>
        <v>workbooks_and_relations</v>
      </c>
      <c r="C402" t="s">
        <v>236</v>
      </c>
      <c r="D402" s="2" t="str">
        <f>VLOOKUP(Table1[[#This Row],[Called Node]],Nodes!A:B,2,0)</f>
        <v>workbook_0_2019_relation</v>
      </c>
      <c r="E402" s="3" t="str">
        <f>Table1[[#This Row],[Calling Node]]&amp;" -&gt; "&amp;Table1[[#This Row],[Called Node]]</f>
        <v>workbooks_and_relations -&gt; workbook_0_2019_relation_in_conftest</v>
      </c>
      <c r="F402">
        <f>VLOOKUP(Table1[[#This Row],[Calling Node]],Nodes!A:D,4,0)</f>
        <v>25</v>
      </c>
      <c r="G402">
        <f>VLOOKUP(Table1[[#This Row],[Calling Node]],Nodes!A:E,5,0)</f>
        <v>30</v>
      </c>
      <c r="H402">
        <f>VLOOKUP(Table1[[#This Row],[Called Node]],Nodes!A:D,4,0)</f>
        <v>25</v>
      </c>
      <c r="I402">
        <f>VLOOKUP(Table1[[#This Row],[Called Node]],Nodes!A:E,5,0)</f>
        <v>22</v>
      </c>
    </row>
    <row r="403" spans="1:9" x14ac:dyDescent="0.3">
      <c r="A403" t="s">
        <v>244</v>
      </c>
      <c r="B403" t="str">
        <f>VLOOKUP(Table1[[#This Row],[Calling Node]],Nodes!A:B,2,0)</f>
        <v>workbooks_and_relations</v>
      </c>
      <c r="C403" t="s">
        <v>237</v>
      </c>
      <c r="D403" s="2" t="str">
        <f>VLOOKUP(Table1[[#This Row],[Called Node]],Nodes!A:B,2,0)</f>
        <v>workbook_1_2019_relation</v>
      </c>
      <c r="E403" s="3" t="str">
        <f>Table1[[#This Row],[Calling Node]]&amp;" -&gt; "&amp;Table1[[#This Row],[Called Node]]</f>
        <v>workbooks_and_relations -&gt; workbook_1_2019_relation_in_conftest</v>
      </c>
      <c r="F403">
        <f>VLOOKUP(Table1[[#This Row],[Calling Node]],Nodes!A:D,4,0)</f>
        <v>25</v>
      </c>
      <c r="G403">
        <f>VLOOKUP(Table1[[#This Row],[Calling Node]],Nodes!A:E,5,0)</f>
        <v>30</v>
      </c>
      <c r="H403">
        <f>VLOOKUP(Table1[[#This Row],[Called Node]],Nodes!A:D,4,0)</f>
        <v>25</v>
      </c>
      <c r="I403">
        <f>VLOOKUP(Table1[[#This Row],[Called Node]],Nodes!A:E,5,0)</f>
        <v>23</v>
      </c>
    </row>
    <row r="404" spans="1:9" x14ac:dyDescent="0.3">
      <c r="A404" t="s">
        <v>244</v>
      </c>
      <c r="B404" t="str">
        <f>VLOOKUP(Table1[[#This Row],[Calling Node]],Nodes!A:B,2,0)</f>
        <v>workbooks_and_relations</v>
      </c>
      <c r="C404" t="s">
        <v>238</v>
      </c>
      <c r="D404" s="2" t="str">
        <f>VLOOKUP(Table1[[#This Row],[Called Node]],Nodes!A:B,2,0)</f>
        <v>workbook_2_2019_relation</v>
      </c>
      <c r="E404" s="3" t="str">
        <f>Table1[[#This Row],[Calling Node]]&amp;" -&gt; "&amp;Table1[[#This Row],[Called Node]]</f>
        <v>workbooks_and_relations -&gt; workbook_2_2019_relation_in_conftest</v>
      </c>
      <c r="F404">
        <f>VLOOKUP(Table1[[#This Row],[Calling Node]],Nodes!A:D,4,0)</f>
        <v>25</v>
      </c>
      <c r="G404">
        <f>VLOOKUP(Table1[[#This Row],[Calling Node]],Nodes!A:E,5,0)</f>
        <v>30</v>
      </c>
      <c r="H404">
        <f>VLOOKUP(Table1[[#This Row],[Called Node]],Nodes!A:D,4,0)</f>
        <v>25</v>
      </c>
      <c r="I404">
        <f>VLOOKUP(Table1[[#This Row],[Called Node]],Nodes!A:E,5,0)</f>
        <v>24</v>
      </c>
    </row>
    <row r="405" spans="1:9" x14ac:dyDescent="0.3">
      <c r="A405" t="s">
        <v>244</v>
      </c>
      <c r="B405" t="str">
        <f>VLOOKUP(Table1[[#This Row],[Calling Node]],Nodes!A:B,2,0)</f>
        <v>workbooks_and_relations</v>
      </c>
      <c r="C405" t="s">
        <v>239</v>
      </c>
      <c r="D405" s="2" t="str">
        <f>VLOOKUP(Table1[[#This Row],[Called Node]],Nodes!A:B,2,0)</f>
        <v>workbook_3_2019_relation</v>
      </c>
      <c r="E405" s="3" t="str">
        <f>Table1[[#This Row],[Calling Node]]&amp;" -&gt; "&amp;Table1[[#This Row],[Called Node]]</f>
        <v>workbooks_and_relations -&gt; workbook_3_2019_relation_in_conftest</v>
      </c>
      <c r="F405">
        <f>VLOOKUP(Table1[[#This Row],[Calling Node]],Nodes!A:D,4,0)</f>
        <v>25</v>
      </c>
      <c r="G405">
        <f>VLOOKUP(Table1[[#This Row],[Calling Node]],Nodes!A:E,5,0)</f>
        <v>30</v>
      </c>
      <c r="H405">
        <f>VLOOKUP(Table1[[#This Row],[Called Node]],Nodes!A:D,4,0)</f>
        <v>25</v>
      </c>
      <c r="I405">
        <f>VLOOKUP(Table1[[#This Row],[Called Node]],Nodes!A:E,5,0)</f>
        <v>25</v>
      </c>
    </row>
    <row r="406" spans="1:9" x14ac:dyDescent="0.3">
      <c r="A406" t="s">
        <v>244</v>
      </c>
      <c r="B406" t="str">
        <f>VLOOKUP(Table1[[#This Row],[Calling Node]],Nodes!A:B,2,0)</f>
        <v>workbooks_and_relations</v>
      </c>
      <c r="C406" t="s">
        <v>240</v>
      </c>
      <c r="D406" s="2" t="str">
        <f>VLOOKUP(Table1[[#This Row],[Called Node]],Nodes!A:B,2,0)</f>
        <v>workbook_0_2020_relation</v>
      </c>
      <c r="E406" s="3" t="str">
        <f>Table1[[#This Row],[Calling Node]]&amp;" -&gt; "&amp;Table1[[#This Row],[Called Node]]</f>
        <v>workbooks_and_relations -&gt; workbook_0_2020_relation_in_conftest</v>
      </c>
      <c r="F406">
        <f>VLOOKUP(Table1[[#This Row],[Calling Node]],Nodes!A:D,4,0)</f>
        <v>25</v>
      </c>
      <c r="G406">
        <f>VLOOKUP(Table1[[#This Row],[Calling Node]],Nodes!A:E,5,0)</f>
        <v>30</v>
      </c>
      <c r="H406">
        <f>VLOOKUP(Table1[[#This Row],[Called Node]],Nodes!A:D,4,0)</f>
        <v>25</v>
      </c>
      <c r="I406">
        <f>VLOOKUP(Table1[[#This Row],[Called Node]],Nodes!A:E,5,0)</f>
        <v>26</v>
      </c>
    </row>
    <row r="407" spans="1:9" x14ac:dyDescent="0.3">
      <c r="A407" t="s">
        <v>244</v>
      </c>
      <c r="B407" t="str">
        <f>VLOOKUP(Table1[[#This Row],[Calling Node]],Nodes!A:B,2,0)</f>
        <v>workbooks_and_relations</v>
      </c>
      <c r="C407" t="s">
        <v>241</v>
      </c>
      <c r="D407" s="2" t="str">
        <f>VLOOKUP(Table1[[#This Row],[Called Node]],Nodes!A:B,2,0)</f>
        <v>workbook_1_2020_relation</v>
      </c>
      <c r="E407" s="3" t="str">
        <f>Table1[[#This Row],[Calling Node]]&amp;" -&gt; "&amp;Table1[[#This Row],[Called Node]]</f>
        <v>workbooks_and_relations -&gt; workbook_1_2020_relation_in_conftest</v>
      </c>
      <c r="F407">
        <f>VLOOKUP(Table1[[#This Row],[Calling Node]],Nodes!A:D,4,0)</f>
        <v>25</v>
      </c>
      <c r="G407">
        <f>VLOOKUP(Table1[[#This Row],[Calling Node]],Nodes!A:E,5,0)</f>
        <v>30</v>
      </c>
      <c r="H407">
        <f>VLOOKUP(Table1[[#This Row],[Called Node]],Nodes!A:D,4,0)</f>
        <v>25</v>
      </c>
      <c r="I407">
        <f>VLOOKUP(Table1[[#This Row],[Called Node]],Nodes!A:E,5,0)</f>
        <v>27</v>
      </c>
    </row>
    <row r="408" spans="1:9" x14ac:dyDescent="0.3">
      <c r="A408" t="s">
        <v>244</v>
      </c>
      <c r="B408" t="str">
        <f>VLOOKUP(Table1[[#This Row],[Calling Node]],Nodes!A:B,2,0)</f>
        <v>workbooks_and_relations</v>
      </c>
      <c r="C408" t="s">
        <v>242</v>
      </c>
      <c r="D408" s="2" t="str">
        <f>VLOOKUP(Table1[[#This Row],[Called Node]],Nodes!A:B,2,0)</f>
        <v>workbook_2_2020_relation</v>
      </c>
      <c r="E408" s="3" t="str">
        <f>Table1[[#This Row],[Calling Node]]&amp;" -&gt; "&amp;Table1[[#This Row],[Called Node]]</f>
        <v>workbooks_and_relations -&gt; workbook_2_2020_relation_in_conftest</v>
      </c>
      <c r="F408">
        <f>VLOOKUP(Table1[[#This Row],[Calling Node]],Nodes!A:D,4,0)</f>
        <v>25</v>
      </c>
      <c r="G408">
        <f>VLOOKUP(Table1[[#This Row],[Calling Node]],Nodes!A:E,5,0)</f>
        <v>30</v>
      </c>
      <c r="H408">
        <f>VLOOKUP(Table1[[#This Row],[Called Node]],Nodes!A:D,4,0)</f>
        <v>25</v>
      </c>
      <c r="I408">
        <f>VLOOKUP(Table1[[#This Row],[Called Node]],Nodes!A:E,5,0)</f>
        <v>28</v>
      </c>
    </row>
    <row r="409" spans="1:9" x14ac:dyDescent="0.3">
      <c r="A409" t="s">
        <v>244</v>
      </c>
      <c r="B409" t="str">
        <f>VLOOKUP(Table1[[#This Row],[Calling Node]],Nodes!A:B,2,0)</f>
        <v>workbooks_and_relations</v>
      </c>
      <c r="C409" t="s">
        <v>243</v>
      </c>
      <c r="D409" s="2" t="str">
        <f>VLOOKUP(Table1[[#This Row],[Called Node]],Nodes!A:B,2,0)</f>
        <v>workbook_3_2020_relation</v>
      </c>
      <c r="E409" s="3" t="str">
        <f>Table1[[#This Row],[Calling Node]]&amp;" -&gt; "&amp;Table1[[#This Row],[Called Node]]</f>
        <v>workbooks_and_relations -&gt; workbook_3_2020_relation_in_conftest</v>
      </c>
      <c r="F409">
        <f>VLOOKUP(Table1[[#This Row],[Calling Node]],Nodes!A:D,4,0)</f>
        <v>25</v>
      </c>
      <c r="G409">
        <f>VLOOKUP(Table1[[#This Row],[Calling Node]],Nodes!A:E,5,0)</f>
        <v>30</v>
      </c>
      <c r="H409">
        <f>VLOOKUP(Table1[[#This Row],[Called Node]],Nodes!A:D,4,0)</f>
        <v>25</v>
      </c>
      <c r="I409">
        <f>VLOOKUP(Table1[[#This Row],[Called Node]],Nodes!A:E,5,0)</f>
        <v>29</v>
      </c>
    </row>
    <row r="410" spans="1:9" x14ac:dyDescent="0.3">
      <c r="A410" t="s">
        <v>246</v>
      </c>
      <c r="B410" t="str">
        <f>VLOOKUP(Table1[[#This Row],[Calling Node]],Nodes!A:B,2,0)</f>
        <v>COUNTERData_relation</v>
      </c>
      <c r="C410" t="s">
        <v>244</v>
      </c>
      <c r="D410" t="str">
        <f>VLOOKUP(Table1[[#This Row],[Called Node]],Nodes!A:B,2,0)</f>
        <v>workbooks_and_relations</v>
      </c>
      <c r="E410" s="3" t="str">
        <f>Table1[[#This Row],[Calling Node]]&amp;" -&gt; "&amp;Table1[[#This Row],[Called Node]]</f>
        <v>COUNTERData_relation -&gt; workbooks_and_relations</v>
      </c>
      <c r="F410">
        <f>VLOOKUP(Table1[[#This Row],[Calling Node]],Nodes!A:D,4,0)</f>
        <v>25</v>
      </c>
      <c r="G410">
        <f>VLOOKUP(Table1[[#This Row],[Calling Node]],Nodes!A:E,5,0)</f>
        <v>32</v>
      </c>
      <c r="H410">
        <f>VLOOKUP(Table1[[#This Row],[Called Node]],Nodes!A:D,4,0)</f>
        <v>25</v>
      </c>
      <c r="I410">
        <f>VLOOKUP(Table1[[#This Row],[Called Node]],Nodes!A:E,5,0)</f>
        <v>30</v>
      </c>
    </row>
    <row r="411" spans="1:9" x14ac:dyDescent="0.3">
      <c r="A411" t="s">
        <v>246</v>
      </c>
      <c r="B411" t="str">
        <f>VLOOKUP(Table1[[#This Row],[Calling Node]],Nodes!A:B,2,0)</f>
        <v>COUNTERData_relation</v>
      </c>
      <c r="C411" t="s">
        <v>245</v>
      </c>
      <c r="D411" t="str">
        <f>VLOOKUP(Table1[[#This Row],[Called Node]],Nodes!A:B,2,0)</f>
        <v>create_COUNTERData_workbook_iterdir_list</v>
      </c>
      <c r="E411" s="3" t="str">
        <f>Table1[[#This Row],[Calling Node]]&amp;" -&gt; "&amp;Table1[[#This Row],[Called Node]]</f>
        <v>COUNTERData_relation -&gt; create_COUNTERData_workbook_iterdir_list</v>
      </c>
      <c r="F411">
        <f>VLOOKUP(Table1[[#This Row],[Calling Node]],Nodes!A:D,4,0)</f>
        <v>25</v>
      </c>
      <c r="G411">
        <f>VLOOKUP(Table1[[#This Row],[Calling Node]],Nodes!A:E,5,0)</f>
        <v>32</v>
      </c>
      <c r="H411">
        <f>VLOOKUP(Table1[[#This Row],[Called Node]],Nodes!A:D,4,0)</f>
        <v>25</v>
      </c>
      <c r="I411">
        <f>VLOOKUP(Table1[[#This Row],[Called Node]],Nodes!A:E,5,0)</f>
        <v>31</v>
      </c>
    </row>
    <row r="412" spans="1:9" x14ac:dyDescent="0.3">
      <c r="A412" t="s">
        <v>249</v>
      </c>
      <c r="B412" t="str">
        <f>VLOOKUP(Table1[[#This Row],[Calling Node]],Nodes!A:B,2,0)</f>
        <v>remove_file_from_S3</v>
      </c>
      <c r="C412" t="s">
        <v>139</v>
      </c>
      <c r="D412" t="str">
        <f>VLOOKUP(Table1[[#This Row],[Called Node]],Nodes!A:B,2,0)</f>
        <v>fixture_variable_value_declaration_statement</v>
      </c>
      <c r="E412" s="3" t="str">
        <f>Table1[[#This Row],[Calling Node]]&amp;" -&gt; "&amp;Table1[[#This Row],[Called Node]]</f>
        <v>remove_file_from_S3 -&gt; fixture_variable_value_declaration_statement</v>
      </c>
      <c r="F412">
        <f>VLOOKUP(Table1[[#This Row],[Calling Node]],Nodes!A:D,4,0)</f>
        <v>25</v>
      </c>
      <c r="G412">
        <f>VLOOKUP(Table1[[#This Row],[Calling Node]],Nodes!A:E,5,0)</f>
        <v>35</v>
      </c>
      <c r="H412">
        <f>VLOOKUP(Table1[[#This Row],[Called Node]],Nodes!A:D,4,0)</f>
        <v>23</v>
      </c>
      <c r="I412">
        <f>VLOOKUP(Table1[[#This Row],[Called Node]],Nodes!A:E,5,0)</f>
        <v>5</v>
      </c>
    </row>
    <row r="413" spans="1:9" x14ac:dyDescent="0.3">
      <c r="A413" t="s">
        <v>249</v>
      </c>
      <c r="B413" t="str">
        <f>VLOOKUP(Table1[[#This Row],[Calling Node]],Nodes!A:B,2,0)</f>
        <v>remove_file_from_S3</v>
      </c>
      <c r="C413" t="s">
        <v>147</v>
      </c>
      <c r="D413" t="str">
        <f>VLOOKUP(Table1[[#This Row],[Called Node]],Nodes!A:B,2,0)</f>
        <v>unable_to_delete_test_file_in_S3_statement</v>
      </c>
      <c r="E413" s="3" t="str">
        <f>Table1[[#This Row],[Calling Node]]&amp;" -&gt; "&amp;Table1[[#This Row],[Called Node]]</f>
        <v>remove_file_from_S3 -&gt; unable_to_delete_test_file_in_S3_statement</v>
      </c>
      <c r="F413">
        <f>VLOOKUP(Table1[[#This Row],[Calling Node]],Nodes!A:D,4,0)</f>
        <v>25</v>
      </c>
      <c r="G413">
        <f>VLOOKUP(Table1[[#This Row],[Calling Node]],Nodes!A:E,5,0)</f>
        <v>35</v>
      </c>
      <c r="H413">
        <f>VLOOKUP(Table1[[#This Row],[Called Node]],Nodes!A:D,4,0)</f>
        <v>23</v>
      </c>
      <c r="I413">
        <f>VLOOKUP(Table1[[#This Row],[Called Node]],Nodes!A:E,5,0)</f>
        <v>13</v>
      </c>
    </row>
    <row r="414" spans="1:9" x14ac:dyDescent="0.3">
      <c r="A414" t="s">
        <v>249</v>
      </c>
      <c r="B414" t="str">
        <f>VLOOKUP(Table1[[#This Row],[Calling Node]],Nodes!A:B,2,0)</f>
        <v>remove_file_from_S3</v>
      </c>
      <c r="C414" t="s">
        <v>248</v>
      </c>
      <c r="D414" t="str">
        <f>VLOOKUP(Table1[[#This Row],[Called Node]],Nodes!A:B,2,0)</f>
        <v>path_to_sample_file</v>
      </c>
      <c r="E414" s="3" t="str">
        <f>Table1[[#This Row],[Calling Node]]&amp;" -&gt; "&amp;Table1[[#This Row],[Called Node]]</f>
        <v>remove_file_from_S3 -&gt; path_to_sample_file</v>
      </c>
      <c r="F414">
        <f>VLOOKUP(Table1[[#This Row],[Calling Node]],Nodes!A:D,4,0)</f>
        <v>25</v>
      </c>
      <c r="G414">
        <f>VLOOKUP(Table1[[#This Row],[Calling Node]],Nodes!A:E,5,0)</f>
        <v>35</v>
      </c>
      <c r="H414">
        <f>VLOOKUP(Table1[[#This Row],[Called Node]],Nodes!A:D,4,0)</f>
        <v>25</v>
      </c>
      <c r="I414">
        <f>VLOOKUP(Table1[[#This Row],[Called Node]],Nodes!A:E,5,0)</f>
        <v>34</v>
      </c>
    </row>
    <row r="415" spans="1:9" x14ac:dyDescent="0.3">
      <c r="A415" t="s">
        <v>250</v>
      </c>
      <c r="B415" t="str">
        <f>VLOOKUP(Table1[[#This Row],[Calling Node]],Nodes!A:B,2,0)</f>
        <v>non_COUNTER_AUCT_object_before_upload</v>
      </c>
      <c r="C415" t="s">
        <v>123</v>
      </c>
      <c r="D415" t="str">
        <f>VLOOKUP(Table1[[#This Row],[Called Node]],Nodes!A:B,2,0)</f>
        <v>query_database</v>
      </c>
      <c r="E415" s="3" t="str">
        <f>Table1[[#This Row],[Calling Node]]&amp;" -&gt; "&amp;Table1[[#This Row],[Called Node]]</f>
        <v>non_COUNTER_AUCT_object_before_upload -&gt; query_database</v>
      </c>
      <c r="F415">
        <f>VLOOKUP(Table1[[#This Row],[Calling Node]],Nodes!A:D,4,0)</f>
        <v>25</v>
      </c>
      <c r="G415">
        <f>VLOOKUP(Table1[[#This Row],[Calling Node]],Nodes!A:E,5,0)</f>
        <v>36</v>
      </c>
      <c r="H415">
        <f>VLOOKUP(Table1[[#This Row],[Called Node]],Nodes!A:D,4,0)</f>
        <v>22</v>
      </c>
      <c r="I415">
        <f>VLOOKUP(Table1[[#This Row],[Called Node]],Nodes!A:E,5,0)</f>
        <v>17</v>
      </c>
    </row>
    <row r="416" spans="1:9" x14ac:dyDescent="0.3">
      <c r="A416" t="s">
        <v>250</v>
      </c>
      <c r="B416" t="str">
        <f>VLOOKUP(Table1[[#This Row],[Calling Node]],Nodes!A:B,2,0)</f>
        <v>non_COUNTER_AUCT_object_before_upload</v>
      </c>
      <c r="C416" t="s">
        <v>138</v>
      </c>
      <c r="D416" t="str">
        <f>VLOOKUP(Table1[[#This Row],[Called Node]],Nodes!A:B,2,0)</f>
        <v>initialize_relation_class_object_statement</v>
      </c>
      <c r="E416" s="3" t="str">
        <f>Table1[[#This Row],[Calling Node]]&amp;" -&gt; "&amp;Table1[[#This Row],[Called Node]]</f>
        <v>non_COUNTER_AUCT_object_before_upload -&gt; initialize_relation_class_object_statement</v>
      </c>
      <c r="F416">
        <f>VLOOKUP(Table1[[#This Row],[Calling Node]],Nodes!A:D,4,0)</f>
        <v>25</v>
      </c>
      <c r="G416">
        <f>VLOOKUP(Table1[[#This Row],[Calling Node]],Nodes!A:E,5,0)</f>
        <v>36</v>
      </c>
      <c r="H416">
        <f>VLOOKUP(Table1[[#This Row],[Called Node]],Nodes!A:D,4,0)</f>
        <v>23</v>
      </c>
      <c r="I416">
        <f>VLOOKUP(Table1[[#This Row],[Called Node]],Nodes!A:E,5,0)</f>
        <v>4</v>
      </c>
    </row>
    <row r="417" spans="1:9" x14ac:dyDescent="0.3">
      <c r="A417" t="s">
        <v>250</v>
      </c>
      <c r="B417" t="str">
        <f>VLOOKUP(Table1[[#This Row],[Calling Node]],Nodes!A:B,2,0)</f>
        <v>non_COUNTER_AUCT_object_before_upload</v>
      </c>
      <c r="C417" t="s">
        <v>147</v>
      </c>
      <c r="D417" t="str">
        <f>VLOOKUP(Table1[[#This Row],[Called Node]],Nodes!A:B,2,0)</f>
        <v>unable_to_delete_test_file_in_S3_statement</v>
      </c>
      <c r="E417" s="3" t="str">
        <f>Table1[[#This Row],[Calling Node]]&amp;" -&gt; "&amp;Table1[[#This Row],[Called Node]]</f>
        <v>non_COUNTER_AUCT_object_before_upload -&gt; unable_to_delete_test_file_in_S3_statement</v>
      </c>
      <c r="F417">
        <f>VLOOKUP(Table1[[#This Row],[Calling Node]],Nodes!A:D,4,0)</f>
        <v>25</v>
      </c>
      <c r="G417">
        <f>VLOOKUP(Table1[[#This Row],[Calling Node]],Nodes!A:E,5,0)</f>
        <v>36</v>
      </c>
      <c r="H417">
        <f>VLOOKUP(Table1[[#This Row],[Called Node]],Nodes!A:D,4,0)</f>
        <v>23</v>
      </c>
      <c r="I417">
        <f>VLOOKUP(Table1[[#This Row],[Called Node]],Nodes!A:E,5,0)</f>
        <v>13</v>
      </c>
    </row>
    <row r="418" spans="1:9" x14ac:dyDescent="0.3">
      <c r="A418" t="s">
        <v>250</v>
      </c>
      <c r="B418" t="str">
        <f>VLOOKUP(Table1[[#This Row],[Calling Node]],Nodes!A:B,2,0)</f>
        <v>non_COUNTER_AUCT_object_before_upload</v>
      </c>
      <c r="C418" t="s">
        <v>155</v>
      </c>
      <c r="D418" t="str">
        <f>VLOOKUP(Table1[[#This Row],[Called Node]],Nodes!A:B,2,0)</f>
        <v>database_function_skip_statements</v>
      </c>
      <c r="E418" s="3" t="str">
        <f>Table1[[#This Row],[Calling Node]]&amp;" -&gt; "&amp;Table1[[#This Row],[Called Node]]</f>
        <v>non_COUNTER_AUCT_object_before_upload -&gt; database_function_skip_statements</v>
      </c>
      <c r="F418">
        <f>VLOOKUP(Table1[[#This Row],[Calling Node]],Nodes!A:D,4,0)</f>
        <v>25</v>
      </c>
      <c r="G418">
        <f>VLOOKUP(Table1[[#This Row],[Calling Node]],Nodes!A:E,5,0)</f>
        <v>36</v>
      </c>
      <c r="H418">
        <f>VLOOKUP(Table1[[#This Row],[Called Node]],Nodes!A:D,4,0)</f>
        <v>23</v>
      </c>
      <c r="I418">
        <f>VLOOKUP(Table1[[#This Row],[Called Node]],Nodes!A:E,5,0)</f>
        <v>21</v>
      </c>
    </row>
    <row r="419" spans="1:9" x14ac:dyDescent="0.3">
      <c r="A419" t="s">
        <v>250</v>
      </c>
      <c r="B419" t="str">
        <f>VLOOKUP(Table1[[#This Row],[Calling Node]],Nodes!A:B,2,0)</f>
        <v>non_COUNTER_AUCT_object_before_upload</v>
      </c>
      <c r="C419" t="s">
        <v>215</v>
      </c>
      <c r="D419" t="str">
        <f>VLOOKUP(Table1[[#This Row],[Called Node]],Nodes!A:B,2,0)</f>
        <v>engine</v>
      </c>
      <c r="E419" s="3" t="str">
        <f>Table1[[#This Row],[Calling Node]]&amp;" -&gt; "&amp;Table1[[#This Row],[Called Node]]</f>
        <v>non_COUNTER_AUCT_object_before_upload -&gt; engine</v>
      </c>
      <c r="F419">
        <f>VLOOKUP(Table1[[#This Row],[Calling Node]],Nodes!A:D,4,0)</f>
        <v>25</v>
      </c>
      <c r="G419">
        <f>VLOOKUP(Table1[[#This Row],[Calling Node]],Nodes!A:E,5,0)</f>
        <v>36</v>
      </c>
      <c r="H419">
        <f>VLOOKUP(Table1[[#This Row],[Called Node]],Nodes!A:D,4,0)</f>
        <v>25</v>
      </c>
      <c r="I419">
        <f>VLOOKUP(Table1[[#This Row],[Called Node]],Nodes!A:E,5,0)</f>
        <v>1</v>
      </c>
    </row>
    <row r="420" spans="1:9" x14ac:dyDescent="0.3">
      <c r="A420" t="s">
        <v>250</v>
      </c>
      <c r="B420" t="str">
        <f>VLOOKUP(Table1[[#This Row],[Calling Node]],Nodes!A:B,2,0)</f>
        <v>non_COUNTER_AUCT_object_before_upload</v>
      </c>
      <c r="C420" t="s">
        <v>248</v>
      </c>
      <c r="D420" t="str">
        <f>VLOOKUP(Table1[[#This Row],[Called Node]],Nodes!A:B,2,0)</f>
        <v>path_to_sample_file</v>
      </c>
      <c r="E420" s="3" t="str">
        <f>Table1[[#This Row],[Calling Node]]&amp;" -&gt; "&amp;Table1[[#This Row],[Called Node]]</f>
        <v>non_COUNTER_AUCT_object_before_upload -&gt; path_to_sample_file</v>
      </c>
      <c r="F420">
        <f>VLOOKUP(Table1[[#This Row],[Calling Node]],Nodes!A:D,4,0)</f>
        <v>25</v>
      </c>
      <c r="G420">
        <f>VLOOKUP(Table1[[#This Row],[Calling Node]],Nodes!A:E,5,0)</f>
        <v>36</v>
      </c>
      <c r="H420">
        <f>VLOOKUP(Table1[[#This Row],[Called Node]],Nodes!A:D,4,0)</f>
        <v>25</v>
      </c>
      <c r="I420">
        <f>VLOOKUP(Table1[[#This Row],[Called Node]],Nodes!A:E,5,0)</f>
        <v>34</v>
      </c>
    </row>
    <row r="421" spans="1:9" x14ac:dyDescent="0.3">
      <c r="A421" t="s">
        <v>251</v>
      </c>
      <c r="B421" t="str">
        <f>VLOOKUP(Table1[[#This Row],[Calling Node]],Nodes!A:B,2,0)</f>
        <v>non_COUNTER_AUCT_object_after_upload</v>
      </c>
      <c r="C421" t="s">
        <v>123</v>
      </c>
      <c r="D421" t="str">
        <f>VLOOKUP(Table1[[#This Row],[Called Node]],Nodes!A:B,2,0)</f>
        <v>query_database</v>
      </c>
      <c r="E421" s="3" t="str">
        <f>Table1[[#This Row],[Calling Node]]&amp;" -&gt; "&amp;Table1[[#This Row],[Called Node]]</f>
        <v>non_COUNTER_AUCT_object_after_upload -&gt; query_database</v>
      </c>
      <c r="F421">
        <f>VLOOKUP(Table1[[#This Row],[Calling Node]],Nodes!A:D,4,0)</f>
        <v>25</v>
      </c>
      <c r="G421">
        <f>VLOOKUP(Table1[[#This Row],[Calling Node]],Nodes!A:E,5,0)</f>
        <v>37</v>
      </c>
      <c r="H421">
        <f>VLOOKUP(Table1[[#This Row],[Called Node]],Nodes!A:D,4,0)</f>
        <v>22</v>
      </c>
      <c r="I421">
        <f>VLOOKUP(Table1[[#This Row],[Called Node]],Nodes!A:E,5,0)</f>
        <v>17</v>
      </c>
    </row>
    <row r="422" spans="1:9" x14ac:dyDescent="0.3">
      <c r="A422" t="s">
        <v>251</v>
      </c>
      <c r="B422" t="str">
        <f>VLOOKUP(Table1[[#This Row],[Calling Node]],Nodes!A:B,2,0)</f>
        <v>non_COUNTER_AUCT_object_after_upload</v>
      </c>
      <c r="C422" t="s">
        <v>138</v>
      </c>
      <c r="D422" t="str">
        <f>VLOOKUP(Table1[[#This Row],[Called Node]],Nodes!A:B,2,0)</f>
        <v>initialize_relation_class_object_statement</v>
      </c>
      <c r="E422" s="3" t="str">
        <f>Table1[[#This Row],[Calling Node]]&amp;" -&gt; "&amp;Table1[[#This Row],[Called Node]]</f>
        <v>non_COUNTER_AUCT_object_after_upload -&gt; initialize_relation_class_object_statement</v>
      </c>
      <c r="F422">
        <f>VLOOKUP(Table1[[#This Row],[Calling Node]],Nodes!A:D,4,0)</f>
        <v>25</v>
      </c>
      <c r="G422">
        <f>VLOOKUP(Table1[[#This Row],[Calling Node]],Nodes!A:E,5,0)</f>
        <v>37</v>
      </c>
      <c r="H422">
        <f>VLOOKUP(Table1[[#This Row],[Called Node]],Nodes!A:D,4,0)</f>
        <v>23</v>
      </c>
      <c r="I422">
        <f>VLOOKUP(Table1[[#This Row],[Called Node]],Nodes!A:E,5,0)</f>
        <v>4</v>
      </c>
    </row>
    <row r="423" spans="1:9" x14ac:dyDescent="0.3">
      <c r="A423" t="s">
        <v>251</v>
      </c>
      <c r="B423" t="str">
        <f>VLOOKUP(Table1[[#This Row],[Calling Node]],Nodes!A:B,2,0)</f>
        <v>non_COUNTER_AUCT_object_after_upload</v>
      </c>
      <c r="C423" t="s">
        <v>155</v>
      </c>
      <c r="D423" t="str">
        <f>VLOOKUP(Table1[[#This Row],[Called Node]],Nodes!A:B,2,0)</f>
        <v>database_function_skip_statements</v>
      </c>
      <c r="E423" s="3" t="str">
        <f>Table1[[#This Row],[Calling Node]]&amp;" -&gt; "&amp;Table1[[#This Row],[Called Node]]</f>
        <v>non_COUNTER_AUCT_object_after_upload -&gt; database_function_skip_statements</v>
      </c>
      <c r="F423">
        <f>VLOOKUP(Table1[[#This Row],[Calling Node]],Nodes!A:D,4,0)</f>
        <v>25</v>
      </c>
      <c r="G423">
        <f>VLOOKUP(Table1[[#This Row],[Calling Node]],Nodes!A:E,5,0)</f>
        <v>37</v>
      </c>
      <c r="H423">
        <f>VLOOKUP(Table1[[#This Row],[Called Node]],Nodes!A:D,4,0)</f>
        <v>23</v>
      </c>
      <c r="I423">
        <f>VLOOKUP(Table1[[#This Row],[Called Node]],Nodes!A:E,5,0)</f>
        <v>21</v>
      </c>
    </row>
    <row r="424" spans="1:9" x14ac:dyDescent="0.3">
      <c r="A424" t="s">
        <v>251</v>
      </c>
      <c r="B424" t="str">
        <f>VLOOKUP(Table1[[#This Row],[Calling Node]],Nodes!A:B,2,0)</f>
        <v>non_COUNTER_AUCT_object_after_upload</v>
      </c>
      <c r="C424" t="s">
        <v>215</v>
      </c>
      <c r="D424" t="str">
        <f>VLOOKUP(Table1[[#This Row],[Called Node]],Nodes!A:B,2,0)</f>
        <v>engine</v>
      </c>
      <c r="E424" s="3" t="str">
        <f>Table1[[#This Row],[Calling Node]]&amp;" -&gt; "&amp;Table1[[#This Row],[Called Node]]</f>
        <v>non_COUNTER_AUCT_object_after_upload -&gt; engine</v>
      </c>
      <c r="F424">
        <f>VLOOKUP(Table1[[#This Row],[Calling Node]],Nodes!A:D,4,0)</f>
        <v>25</v>
      </c>
      <c r="G424">
        <f>VLOOKUP(Table1[[#This Row],[Calling Node]],Nodes!A:E,5,0)</f>
        <v>37</v>
      </c>
      <c r="H424">
        <f>VLOOKUP(Table1[[#This Row],[Called Node]],Nodes!A:D,4,0)</f>
        <v>25</v>
      </c>
      <c r="I424">
        <f>VLOOKUP(Table1[[#This Row],[Called Node]],Nodes!A:E,5,0)</f>
        <v>1</v>
      </c>
    </row>
    <row r="425" spans="1:9" x14ac:dyDescent="0.3">
      <c r="A425" t="s">
        <v>252</v>
      </c>
      <c r="B425" t="str">
        <f>VLOOKUP(Table1[[#This Row],[Calling Node]],Nodes!A:B,2,0)</f>
        <v>non_COUNTER_file_to_download_from_S3</v>
      </c>
      <c r="C425" t="s">
        <v>120</v>
      </c>
      <c r="D425" t="str">
        <f>VLOOKUP(Table1[[#This Row],[Called Node]],Nodes!A:B,2,0)</f>
        <v>upload_file_to_S3_bucket</v>
      </c>
      <c r="E425" s="3" t="str">
        <f>Table1[[#This Row],[Calling Node]]&amp;" -&gt; "&amp;Table1[[#This Row],[Called Node]]</f>
        <v>non_COUNTER_file_to_download_from_S3 -&gt; upload_file_to_S3_bucket</v>
      </c>
      <c r="F425">
        <f>VLOOKUP(Table1[[#This Row],[Calling Node]],Nodes!A:D,4,0)</f>
        <v>25</v>
      </c>
      <c r="G425">
        <f>VLOOKUP(Table1[[#This Row],[Calling Node]],Nodes!A:E,5,0)</f>
        <v>38</v>
      </c>
      <c r="H425">
        <f>VLOOKUP(Table1[[#This Row],[Called Node]],Nodes!A:D,4,0)</f>
        <v>22</v>
      </c>
      <c r="I425">
        <f>VLOOKUP(Table1[[#This Row],[Called Node]],Nodes!A:E,5,0)</f>
        <v>14</v>
      </c>
    </row>
    <row r="426" spans="1:9" x14ac:dyDescent="0.3">
      <c r="A426" t="s">
        <v>252</v>
      </c>
      <c r="B426" t="str">
        <f>VLOOKUP(Table1[[#This Row],[Calling Node]],Nodes!A:B,2,0)</f>
        <v>non_COUNTER_file_to_download_from_S3</v>
      </c>
      <c r="C426" t="s">
        <v>139</v>
      </c>
      <c r="D426" t="str">
        <f>VLOOKUP(Table1[[#This Row],[Called Node]],Nodes!A:B,2,0)</f>
        <v>fixture_variable_value_declaration_statement</v>
      </c>
      <c r="E426" s="3" t="str">
        <f>Table1[[#This Row],[Calling Node]]&amp;" -&gt; "&amp;Table1[[#This Row],[Called Node]]</f>
        <v>non_COUNTER_file_to_download_from_S3 -&gt; fixture_variable_value_declaration_statement</v>
      </c>
      <c r="F426">
        <f>VLOOKUP(Table1[[#This Row],[Calling Node]],Nodes!A:D,4,0)</f>
        <v>25</v>
      </c>
      <c r="G426">
        <f>VLOOKUP(Table1[[#This Row],[Calling Node]],Nodes!A:E,5,0)</f>
        <v>38</v>
      </c>
      <c r="H426">
        <f>VLOOKUP(Table1[[#This Row],[Called Node]],Nodes!A:D,4,0)</f>
        <v>23</v>
      </c>
      <c r="I426">
        <f>VLOOKUP(Table1[[#This Row],[Called Node]],Nodes!A:E,5,0)</f>
        <v>5</v>
      </c>
    </row>
    <row r="427" spans="1:9" x14ac:dyDescent="0.3">
      <c r="A427" t="s">
        <v>252</v>
      </c>
      <c r="B427" t="str">
        <f>VLOOKUP(Table1[[#This Row],[Calling Node]],Nodes!A:B,2,0)</f>
        <v>non_COUNTER_file_to_download_from_S3</v>
      </c>
      <c r="C427" t="s">
        <v>143</v>
      </c>
      <c r="D427" t="str">
        <f>VLOOKUP(Table1[[#This Row],[Called Node]],Nodes!A:B,2,0)</f>
        <v>file_IO_statement</v>
      </c>
      <c r="E427" s="3" t="str">
        <f>Table1[[#This Row],[Calling Node]]&amp;" -&gt; "&amp;Table1[[#This Row],[Called Node]]</f>
        <v>non_COUNTER_file_to_download_from_S3 -&gt; file_IO_statement</v>
      </c>
      <c r="F427">
        <f>VLOOKUP(Table1[[#This Row],[Calling Node]],Nodes!A:D,4,0)</f>
        <v>25</v>
      </c>
      <c r="G427">
        <f>VLOOKUP(Table1[[#This Row],[Calling Node]],Nodes!A:E,5,0)</f>
        <v>38</v>
      </c>
      <c r="H427">
        <f>VLOOKUP(Table1[[#This Row],[Called Node]],Nodes!A:D,4,0)</f>
        <v>23</v>
      </c>
      <c r="I427">
        <f>VLOOKUP(Table1[[#This Row],[Called Node]],Nodes!A:E,5,0)</f>
        <v>9</v>
      </c>
    </row>
    <row r="428" spans="1:9" x14ac:dyDescent="0.3">
      <c r="A428" t="s">
        <v>252</v>
      </c>
      <c r="B428" t="str">
        <f>VLOOKUP(Table1[[#This Row],[Calling Node]],Nodes!A:B,2,0)</f>
        <v>non_COUNTER_file_to_download_from_S3</v>
      </c>
      <c r="C428" t="s">
        <v>146</v>
      </c>
      <c r="D428" t="str">
        <f>VLOOKUP(Table1[[#This Row],[Called Node]],Nodes!A:B,2,0)</f>
        <v>failed_upload_to_S3_statement</v>
      </c>
      <c r="E428" s="3" t="str">
        <f>Table1[[#This Row],[Calling Node]]&amp;" -&gt; "&amp;Table1[[#This Row],[Called Node]]</f>
        <v>non_COUNTER_file_to_download_from_S3 -&gt; failed_upload_to_S3_statement</v>
      </c>
      <c r="F428">
        <f>VLOOKUP(Table1[[#This Row],[Calling Node]],Nodes!A:D,4,0)</f>
        <v>25</v>
      </c>
      <c r="G428">
        <f>VLOOKUP(Table1[[#This Row],[Calling Node]],Nodes!A:E,5,0)</f>
        <v>38</v>
      </c>
      <c r="H428">
        <f>VLOOKUP(Table1[[#This Row],[Called Node]],Nodes!A:D,4,0)</f>
        <v>23</v>
      </c>
      <c r="I428">
        <f>VLOOKUP(Table1[[#This Row],[Called Node]],Nodes!A:E,5,0)</f>
        <v>12</v>
      </c>
    </row>
    <row r="429" spans="1:9" x14ac:dyDescent="0.3">
      <c r="A429" t="s">
        <v>252</v>
      </c>
      <c r="B429" t="str">
        <f>VLOOKUP(Table1[[#This Row],[Calling Node]],Nodes!A:B,2,0)</f>
        <v>non_COUNTER_file_to_download_from_S3</v>
      </c>
      <c r="C429" t="s">
        <v>147</v>
      </c>
      <c r="D429" t="str">
        <f>VLOOKUP(Table1[[#This Row],[Called Node]],Nodes!A:B,2,0)</f>
        <v>unable_to_delete_test_file_in_S3_statement</v>
      </c>
      <c r="E429" s="3" t="str">
        <f>Table1[[#This Row],[Calling Node]]&amp;" -&gt; "&amp;Table1[[#This Row],[Called Node]]</f>
        <v>non_COUNTER_file_to_download_from_S3 -&gt; unable_to_delete_test_file_in_S3_statement</v>
      </c>
      <c r="F429">
        <f>VLOOKUP(Table1[[#This Row],[Calling Node]],Nodes!A:D,4,0)</f>
        <v>25</v>
      </c>
      <c r="G429">
        <f>VLOOKUP(Table1[[#This Row],[Calling Node]],Nodes!A:E,5,0)</f>
        <v>38</v>
      </c>
      <c r="H429">
        <f>VLOOKUP(Table1[[#This Row],[Called Node]],Nodes!A:D,4,0)</f>
        <v>23</v>
      </c>
      <c r="I429">
        <f>VLOOKUP(Table1[[#This Row],[Called Node]],Nodes!A:E,5,0)</f>
        <v>13</v>
      </c>
    </row>
    <row r="430" spans="1:9" x14ac:dyDescent="0.3">
      <c r="A430" t="s">
        <v>252</v>
      </c>
      <c r="B430" t="str">
        <f>VLOOKUP(Table1[[#This Row],[Calling Node]],Nodes!A:B,2,0)</f>
        <v>non_COUNTER_file_to_download_from_S3</v>
      </c>
      <c r="C430" t="s">
        <v>148</v>
      </c>
      <c r="D430" t="str">
        <f>VLOOKUP(Table1[[#This Row],[Called Node]],Nodes!A:B,2,0)</f>
        <v>upload_file_to_S3_bucket_success_regex</v>
      </c>
      <c r="E430" s="3" t="str">
        <f>Table1[[#This Row],[Calling Node]]&amp;" -&gt; "&amp;Table1[[#This Row],[Called Node]]</f>
        <v>non_COUNTER_file_to_download_from_S3 -&gt; upload_file_to_S3_bucket_success_regex</v>
      </c>
      <c r="F430">
        <f>VLOOKUP(Table1[[#This Row],[Calling Node]],Nodes!A:D,4,0)</f>
        <v>25</v>
      </c>
      <c r="G430">
        <f>VLOOKUP(Table1[[#This Row],[Calling Node]],Nodes!A:E,5,0)</f>
        <v>38</v>
      </c>
      <c r="H430">
        <f>VLOOKUP(Table1[[#This Row],[Called Node]],Nodes!A:D,4,0)</f>
        <v>23</v>
      </c>
      <c r="I430">
        <f>VLOOKUP(Table1[[#This Row],[Called Node]],Nodes!A:E,5,0)</f>
        <v>14</v>
      </c>
    </row>
    <row r="431" spans="1:9" x14ac:dyDescent="0.3">
      <c r="A431" t="s">
        <v>252</v>
      </c>
      <c r="B431" t="str">
        <f>VLOOKUP(Table1[[#This Row],[Calling Node]],Nodes!A:B,2,0)</f>
        <v>non_COUNTER_file_to_download_from_S3</v>
      </c>
      <c r="C431" t="s">
        <v>247</v>
      </c>
      <c r="D431" t="str">
        <f>VLOOKUP(Table1[[#This Row],[Called Node]],Nodes!A:B,2,0)</f>
        <v>download_destination</v>
      </c>
      <c r="E431" s="3" t="str">
        <f>Table1[[#This Row],[Calling Node]]&amp;" -&gt; "&amp;Table1[[#This Row],[Called Node]]</f>
        <v>non_COUNTER_file_to_download_from_S3 -&gt; download_destination</v>
      </c>
      <c r="F431">
        <f>VLOOKUP(Table1[[#This Row],[Calling Node]],Nodes!A:D,4,0)</f>
        <v>25</v>
      </c>
      <c r="G431">
        <f>VLOOKUP(Table1[[#This Row],[Calling Node]],Nodes!A:E,5,0)</f>
        <v>38</v>
      </c>
      <c r="H431">
        <f>VLOOKUP(Table1[[#This Row],[Called Node]],Nodes!A:D,4,0)</f>
        <v>25</v>
      </c>
      <c r="I431">
        <f>VLOOKUP(Table1[[#This Row],[Called Node]],Nodes!A:E,5,0)</f>
        <v>33</v>
      </c>
    </row>
    <row r="432" spans="1:9" x14ac:dyDescent="0.3">
      <c r="A432" t="s">
        <v>252</v>
      </c>
      <c r="B432" t="str">
        <f>VLOOKUP(Table1[[#This Row],[Calling Node]],Nodes!A:B,2,0)</f>
        <v>non_COUNTER_file_to_download_from_S3</v>
      </c>
      <c r="C432" t="s">
        <v>248</v>
      </c>
      <c r="D432" t="str">
        <f>VLOOKUP(Table1[[#This Row],[Called Node]],Nodes!A:B,2,0)</f>
        <v>path_to_sample_file</v>
      </c>
      <c r="E432" s="3" t="str">
        <f>Table1[[#This Row],[Calling Node]]&amp;" -&gt; "&amp;Table1[[#This Row],[Called Node]]</f>
        <v>non_COUNTER_file_to_download_from_S3 -&gt; path_to_sample_file</v>
      </c>
      <c r="F432">
        <f>VLOOKUP(Table1[[#This Row],[Calling Node]],Nodes!A:D,4,0)</f>
        <v>25</v>
      </c>
      <c r="G432">
        <f>VLOOKUP(Table1[[#This Row],[Calling Node]],Nodes!A:E,5,0)</f>
        <v>38</v>
      </c>
      <c r="H432">
        <f>VLOOKUP(Table1[[#This Row],[Called Node]],Nodes!A:D,4,0)</f>
        <v>25</v>
      </c>
      <c r="I432">
        <f>VLOOKUP(Table1[[#This Row],[Called Node]],Nodes!A:E,5,0)</f>
        <v>34</v>
      </c>
    </row>
    <row r="433" spans="1:9" x14ac:dyDescent="0.3">
      <c r="A433" t="s">
        <v>252</v>
      </c>
      <c r="B433" t="str">
        <f>VLOOKUP(Table1[[#This Row],[Calling Node]],Nodes!A:B,2,0)</f>
        <v>non_COUNTER_file_to_download_from_S3</v>
      </c>
      <c r="C433" t="s">
        <v>251</v>
      </c>
      <c r="D433" t="str">
        <f>VLOOKUP(Table1[[#This Row],[Called Node]],Nodes!A:B,2,0)</f>
        <v>non_COUNTER_AUCT_object_after_upload</v>
      </c>
      <c r="E433" s="3" t="str">
        <f>Table1[[#This Row],[Calling Node]]&amp;" -&gt; "&amp;Table1[[#This Row],[Called Node]]</f>
        <v>non_COUNTER_file_to_download_from_S3 -&gt; non_COUNTER_AUCT_object_after_upload</v>
      </c>
      <c r="F433">
        <f>VLOOKUP(Table1[[#This Row],[Calling Node]],Nodes!A:D,4,0)</f>
        <v>25</v>
      </c>
      <c r="G433">
        <f>VLOOKUP(Table1[[#This Row],[Calling Node]],Nodes!A:E,5,0)</f>
        <v>38</v>
      </c>
      <c r="H433">
        <f>VLOOKUP(Table1[[#This Row],[Called Node]],Nodes!A:D,4,0)</f>
        <v>25</v>
      </c>
      <c r="I433">
        <f>VLOOKUP(Table1[[#This Row],[Called Node]],Nodes!A:E,5,0)</f>
        <v>37</v>
      </c>
    </row>
    <row r="434" spans="1:9" x14ac:dyDescent="0.3">
      <c r="A434" t="s">
        <v>254</v>
      </c>
      <c r="B434" t="str">
        <f>VLOOKUP(Table1[[#This Row],[Calling Node]],Nodes!A:B,2,0)</f>
        <v>most_recent_month_with_usage</v>
      </c>
      <c r="C434" t="s">
        <v>115</v>
      </c>
      <c r="D434" t="str">
        <f>VLOOKUP(Table1[[#This Row],[Called Node]],Nodes!A:B,2,0)</f>
        <v>last_day_of_month</v>
      </c>
      <c r="E434" s="3" t="str">
        <f>Table1[[#This Row],[Calling Node]]&amp;" -&gt; "&amp;Table1[[#This Row],[Called Node]]</f>
        <v>most_recent_month_with_usage -&gt; last_day_of_month</v>
      </c>
      <c r="F434">
        <f>VLOOKUP(Table1[[#This Row],[Calling Node]],Nodes!A:D,4,0)</f>
        <v>25</v>
      </c>
      <c r="G434">
        <f>VLOOKUP(Table1[[#This Row],[Calling Node]],Nodes!A:E,5,0)</f>
        <v>40</v>
      </c>
      <c r="H434">
        <f>VLOOKUP(Table1[[#This Row],[Called Node]],Nodes!A:D,4,0)</f>
        <v>22</v>
      </c>
      <c r="I434">
        <f>VLOOKUP(Table1[[#This Row],[Called Node]],Nodes!A:E,5,0)</f>
        <v>9</v>
      </c>
    </row>
    <row r="435" spans="1:9" x14ac:dyDescent="0.3">
      <c r="A435" t="s">
        <v>255</v>
      </c>
      <c r="B435" t="str">
        <f>VLOOKUP(Table1[[#This Row],[Calling Node]],Nodes!A:B,2,0)</f>
        <v>match_direct_SUSHI_harvest_result</v>
      </c>
      <c r="C435" t="s">
        <v>55</v>
      </c>
      <c r="D435" s="2" t="str">
        <f>VLOOKUP(Table1[[#This Row],[Called Node]],Nodes!A:B,2,0)</f>
        <v>state_data_types</v>
      </c>
      <c r="E435" s="3" t="str">
        <f>Table1[[#This Row],[Calling Node]]&amp;" -&gt; "&amp;Table1[[#This Row],[Called Node]]</f>
        <v>match_direct_SUSHI_harvest_result -&gt; state_data_types_in_COUNTERData</v>
      </c>
      <c r="F435">
        <f>VLOOKUP(Table1[[#This Row],[Calling Node]],Nodes!A:D,4,0)</f>
        <v>25</v>
      </c>
      <c r="G435">
        <f>VLOOKUP(Table1[[#This Row],[Calling Node]],Nodes!A:E,5,0)</f>
        <v>41</v>
      </c>
      <c r="H435">
        <f>VLOOKUP(Table1[[#This Row],[Called Node]],Nodes!A:D,4,0)</f>
        <v>12</v>
      </c>
      <c r="I435">
        <f>VLOOKUP(Table1[[#This Row],[Called Node]],Nodes!A:E,5,0)</f>
        <v>1</v>
      </c>
    </row>
    <row r="436" spans="1:9" x14ac:dyDescent="0.3">
      <c r="A436" t="s">
        <v>255</v>
      </c>
      <c r="B436" t="str">
        <f>VLOOKUP(Table1[[#This Row],[Calling Node]],Nodes!A:B,2,0)</f>
        <v>match_direct_SUSHI_harvest_result</v>
      </c>
      <c r="C436" t="s">
        <v>123</v>
      </c>
      <c r="D436" t="str">
        <f>VLOOKUP(Table1[[#This Row],[Called Node]],Nodes!A:B,2,0)</f>
        <v>query_database</v>
      </c>
      <c r="E436" s="3" t="str">
        <f>Table1[[#This Row],[Calling Node]]&amp;" -&gt; "&amp;Table1[[#This Row],[Called Node]]</f>
        <v>match_direct_SUSHI_harvest_result -&gt; query_database</v>
      </c>
      <c r="F436">
        <f>VLOOKUP(Table1[[#This Row],[Calling Node]],Nodes!A:D,4,0)</f>
        <v>25</v>
      </c>
      <c r="G436">
        <f>VLOOKUP(Table1[[#This Row],[Calling Node]],Nodes!A:E,5,0)</f>
        <v>41</v>
      </c>
      <c r="H436">
        <f>VLOOKUP(Table1[[#This Row],[Called Node]],Nodes!A:D,4,0)</f>
        <v>22</v>
      </c>
      <c r="I436">
        <f>VLOOKUP(Table1[[#This Row],[Called Node]],Nodes!A:E,5,0)</f>
        <v>17</v>
      </c>
    </row>
    <row r="437" spans="1:9" x14ac:dyDescent="0.3">
      <c r="A437" t="s">
        <v>255</v>
      </c>
      <c r="B437" t="str">
        <f>VLOOKUP(Table1[[#This Row],[Calling Node]],Nodes!A:B,2,0)</f>
        <v>match_direct_SUSHI_harvest_result</v>
      </c>
      <c r="C437" t="s">
        <v>155</v>
      </c>
      <c r="D437" t="str">
        <f>VLOOKUP(Table1[[#This Row],[Called Node]],Nodes!A:B,2,0)</f>
        <v>database_function_skip_statements</v>
      </c>
      <c r="E437" s="3" t="str">
        <f>Table1[[#This Row],[Calling Node]]&amp;" -&gt; "&amp;Table1[[#This Row],[Called Node]]</f>
        <v>match_direct_SUSHI_harvest_result -&gt; database_function_skip_statements</v>
      </c>
      <c r="F437">
        <f>VLOOKUP(Table1[[#This Row],[Calling Node]],Nodes!A:D,4,0)</f>
        <v>25</v>
      </c>
      <c r="G437">
        <f>VLOOKUP(Table1[[#This Row],[Calling Node]],Nodes!A:E,5,0)</f>
        <v>41</v>
      </c>
      <c r="H437">
        <f>VLOOKUP(Table1[[#This Row],[Called Node]],Nodes!A:D,4,0)</f>
        <v>23</v>
      </c>
      <c r="I437">
        <f>VLOOKUP(Table1[[#This Row],[Called Node]],Nodes!A:E,5,0)</f>
        <v>21</v>
      </c>
    </row>
    <row r="438" spans="1:9" x14ac:dyDescent="0.3">
      <c r="A438" t="s">
        <v>255</v>
      </c>
      <c r="B438" t="str">
        <f>VLOOKUP(Table1[[#This Row],[Calling Node]],Nodes!A:B,2,0)</f>
        <v>match_direct_SUSHI_harvest_result</v>
      </c>
      <c r="C438" t="s">
        <v>215</v>
      </c>
      <c r="D438" t="str">
        <f>VLOOKUP(Table1[[#This Row],[Called Node]],Nodes!A:B,2,0)</f>
        <v>engine</v>
      </c>
      <c r="E438" s="3" t="str">
        <f>Table1[[#This Row],[Calling Node]]&amp;" -&gt; "&amp;Table1[[#This Row],[Called Node]]</f>
        <v>match_direct_SUSHI_harvest_result -&gt; engine</v>
      </c>
      <c r="F438">
        <f>VLOOKUP(Table1[[#This Row],[Calling Node]],Nodes!A:D,4,0)</f>
        <v>25</v>
      </c>
      <c r="G438">
        <f>VLOOKUP(Table1[[#This Row],[Calling Node]],Nodes!A:E,5,0)</f>
        <v>41</v>
      </c>
      <c r="H438">
        <f>VLOOKUP(Table1[[#This Row],[Called Node]],Nodes!A:D,4,0)</f>
        <v>25</v>
      </c>
      <c r="I438">
        <f>VLOOKUP(Table1[[#This Row],[Called Node]],Nodes!A:E,5,0)</f>
        <v>1</v>
      </c>
    </row>
    <row r="439" spans="1:9" x14ac:dyDescent="0.3">
      <c r="A439" t="s">
        <v>256</v>
      </c>
      <c r="B439" t="str">
        <f>VLOOKUP(Table1[[#This Row],[Calling Node]],Nodes!A:B,2,0)</f>
        <v>COUNTER_reports_offered_by_statistics_source</v>
      </c>
      <c r="C439" t="s">
        <v>57</v>
      </c>
      <c r="D439" t="str">
        <f>VLOOKUP(Table1[[#This Row],[Called Node]],Nodes!A:B,2,0)</f>
        <v>make_SUSHI_call</v>
      </c>
      <c r="E439" s="3" t="str">
        <f>Table1[[#This Row],[Calling Node]]&amp;" -&gt; "&amp;Table1[[#This Row],[Called Node]]</f>
        <v>COUNTER_reports_offered_by_statistics_source -&gt; make_SUSHI_call</v>
      </c>
      <c r="F439">
        <f>VLOOKUP(Table1[[#This Row],[Calling Node]],Nodes!A:D,4,0)</f>
        <v>25</v>
      </c>
      <c r="G439">
        <f>VLOOKUP(Table1[[#This Row],[Calling Node]],Nodes!A:E,5,0)</f>
        <v>42</v>
      </c>
      <c r="H439">
        <f>VLOOKUP(Table1[[#This Row],[Called Node]],Nodes!A:D,4,0)</f>
        <v>13</v>
      </c>
      <c r="I439">
        <f>VLOOKUP(Table1[[#This Row],[Called Node]],Nodes!A:E,5,0)</f>
        <v>1</v>
      </c>
    </row>
    <row r="440" spans="1:9" x14ac:dyDescent="0.3">
      <c r="A440" t="s">
        <v>256</v>
      </c>
      <c r="B440" t="str">
        <f>VLOOKUP(Table1[[#This Row],[Calling Node]],Nodes!A:B,2,0)</f>
        <v>COUNTER_reports_offered_by_statistics_source</v>
      </c>
      <c r="C440" t="s">
        <v>158</v>
      </c>
      <c r="D440" t="str">
        <f>VLOOKUP(Table1[[#This Row],[Called Node]],Nodes!A:B,2,0)</f>
        <v>successful_SUSHI_call_statement</v>
      </c>
      <c r="E440" s="3" t="str">
        <f>Table1[[#This Row],[Calling Node]]&amp;" -&gt; "&amp;Table1[[#This Row],[Called Node]]</f>
        <v>COUNTER_reports_offered_by_statistics_source -&gt; successful_SUSHI_call_statement</v>
      </c>
      <c r="F440">
        <f>VLOOKUP(Table1[[#This Row],[Calling Node]],Nodes!A:D,4,0)</f>
        <v>25</v>
      </c>
      <c r="G440">
        <f>VLOOKUP(Table1[[#This Row],[Calling Node]],Nodes!A:E,5,0)</f>
        <v>42</v>
      </c>
      <c r="H440">
        <f>VLOOKUP(Table1[[#This Row],[Called Node]],Nodes!A:D,4,0)</f>
        <v>23</v>
      </c>
      <c r="I440">
        <f>VLOOKUP(Table1[[#This Row],[Called Node]],Nodes!A:E,5,0)</f>
        <v>24</v>
      </c>
    </row>
    <row r="441" spans="1:9" x14ac:dyDescent="0.3">
      <c r="A441" t="s">
        <v>259</v>
      </c>
      <c r="B441" t="str">
        <f>VLOOKUP(Table1[[#This Row],[Calling Node]],Nodes!A:B,2,0)</f>
        <v>test_add_annual_statistic_value</v>
      </c>
      <c r="C441" t="s">
        <v>21</v>
      </c>
      <c r="D441" t="str">
        <f>VLOOKUP(Table1[[#This Row],[Called Node]],Nodes!A:B,2,0)</f>
        <v>add_annual_statistic_value</v>
      </c>
      <c r="E441" s="3" t="str">
        <f>Table1[[#This Row],[Calling Node]]&amp;" -&gt; "&amp;Table1[[#This Row],[Called Node]]</f>
        <v>test_add_annual_statistic_value -&gt; add_annual_statistic_value</v>
      </c>
      <c r="F441">
        <f>VLOOKUP(Table1[[#This Row],[Calling Node]],Nodes!A:D,4,0)</f>
        <v>26</v>
      </c>
      <c r="G441">
        <f>VLOOKUP(Table1[[#This Row],[Calling Node]],Nodes!A:E,5,0)</f>
        <v>1</v>
      </c>
      <c r="H441">
        <f>VLOOKUP(Table1[[#This Row],[Called Node]],Nodes!A:D,4,0)</f>
        <v>3</v>
      </c>
      <c r="I441">
        <f>VLOOKUP(Table1[[#This Row],[Called Node]],Nodes!A:E,5,0)</f>
        <v>2</v>
      </c>
    </row>
    <row r="442" spans="1:9" x14ac:dyDescent="0.3">
      <c r="A442" t="s">
        <v>261</v>
      </c>
      <c r="B442" t="str">
        <f>VLOOKUP(Table1[[#This Row],[Calling Node]],Nodes!A:B,2,0)</f>
        <v>AUCT_fixture_for_SUSHI</v>
      </c>
      <c r="C442" t="s">
        <v>123</v>
      </c>
      <c r="D442" t="str">
        <f>VLOOKUP(Table1[[#This Row],[Called Node]],Nodes!A:B,2,0)</f>
        <v>query_database</v>
      </c>
      <c r="E442" s="3" t="str">
        <f>Table1[[#This Row],[Calling Node]]&amp;" -&gt; "&amp;Table1[[#This Row],[Called Node]]</f>
        <v>AUCT_fixture_for_SUSHI -&gt; query_database</v>
      </c>
      <c r="F442">
        <f>VLOOKUP(Table1[[#This Row],[Calling Node]],Nodes!A:D,4,0)</f>
        <v>27</v>
      </c>
      <c r="G442">
        <f>VLOOKUP(Table1[[#This Row],[Calling Node]],Nodes!A:E,5,0)</f>
        <v>1</v>
      </c>
      <c r="H442">
        <f>VLOOKUP(Table1[[#This Row],[Called Node]],Nodes!A:D,4,0)</f>
        <v>22</v>
      </c>
      <c r="I442">
        <f>VLOOKUP(Table1[[#This Row],[Called Node]],Nodes!A:E,5,0)</f>
        <v>17</v>
      </c>
    </row>
    <row r="443" spans="1:9" x14ac:dyDescent="0.3">
      <c r="A443" t="s">
        <v>261</v>
      </c>
      <c r="B443" t="str">
        <f>VLOOKUP(Table1[[#This Row],[Calling Node]],Nodes!A:B,2,0)</f>
        <v>AUCT_fixture_for_SUSHI</v>
      </c>
      <c r="C443" t="s">
        <v>138</v>
      </c>
      <c r="D443" t="str">
        <f>VLOOKUP(Table1[[#This Row],[Called Node]],Nodes!A:B,2,0)</f>
        <v>initialize_relation_class_object_statement</v>
      </c>
      <c r="E443" s="3" t="str">
        <f>Table1[[#This Row],[Calling Node]]&amp;" -&gt; "&amp;Table1[[#This Row],[Called Node]]</f>
        <v>AUCT_fixture_for_SUSHI -&gt; initialize_relation_class_object_statement</v>
      </c>
      <c r="F443">
        <f>VLOOKUP(Table1[[#This Row],[Calling Node]],Nodes!A:D,4,0)</f>
        <v>27</v>
      </c>
      <c r="G443">
        <f>VLOOKUP(Table1[[#This Row],[Calling Node]],Nodes!A:E,5,0)</f>
        <v>1</v>
      </c>
      <c r="H443">
        <f>VLOOKUP(Table1[[#This Row],[Called Node]],Nodes!A:D,4,0)</f>
        <v>23</v>
      </c>
      <c r="I443">
        <f>VLOOKUP(Table1[[#This Row],[Called Node]],Nodes!A:E,5,0)</f>
        <v>4</v>
      </c>
    </row>
    <row r="444" spans="1:9" x14ac:dyDescent="0.3">
      <c r="A444" t="s">
        <v>261</v>
      </c>
      <c r="B444" t="str">
        <f>VLOOKUP(Table1[[#This Row],[Calling Node]],Nodes!A:B,2,0)</f>
        <v>AUCT_fixture_for_SUSHI</v>
      </c>
      <c r="C444" t="s">
        <v>155</v>
      </c>
      <c r="D444" t="str">
        <f>VLOOKUP(Table1[[#This Row],[Called Node]],Nodes!A:B,2,0)</f>
        <v>database_function_skip_statements</v>
      </c>
      <c r="E444" s="3" t="str">
        <f>Table1[[#This Row],[Calling Node]]&amp;" -&gt; "&amp;Table1[[#This Row],[Called Node]]</f>
        <v>AUCT_fixture_for_SUSHI -&gt; database_function_skip_statements</v>
      </c>
      <c r="F444">
        <f>VLOOKUP(Table1[[#This Row],[Calling Node]],Nodes!A:D,4,0)</f>
        <v>27</v>
      </c>
      <c r="G444">
        <f>VLOOKUP(Table1[[#This Row],[Calling Node]],Nodes!A:E,5,0)</f>
        <v>1</v>
      </c>
      <c r="H444">
        <f>VLOOKUP(Table1[[#This Row],[Called Node]],Nodes!A:D,4,0)</f>
        <v>23</v>
      </c>
      <c r="I444">
        <f>VLOOKUP(Table1[[#This Row],[Called Node]],Nodes!A:E,5,0)</f>
        <v>21</v>
      </c>
    </row>
    <row r="445" spans="1:9" x14ac:dyDescent="0.3">
      <c r="A445" t="s">
        <v>261</v>
      </c>
      <c r="B445" t="str">
        <f>VLOOKUP(Table1[[#This Row],[Calling Node]],Nodes!A:B,2,0)</f>
        <v>AUCT_fixture_for_SUSHI</v>
      </c>
      <c r="C445" t="s">
        <v>215</v>
      </c>
      <c r="D445" t="str">
        <f>VLOOKUP(Table1[[#This Row],[Called Node]],Nodes!A:B,2,0)</f>
        <v>engine</v>
      </c>
      <c r="E445" s="3" t="str">
        <f>Table1[[#This Row],[Calling Node]]&amp;" -&gt; "&amp;Table1[[#This Row],[Called Node]]</f>
        <v>AUCT_fixture_for_SUSHI -&gt; engine</v>
      </c>
      <c r="F445">
        <f>VLOOKUP(Table1[[#This Row],[Calling Node]],Nodes!A:D,4,0)</f>
        <v>27</v>
      </c>
      <c r="G445">
        <f>VLOOKUP(Table1[[#This Row],[Calling Node]],Nodes!A:E,5,0)</f>
        <v>1</v>
      </c>
      <c r="H445">
        <f>VLOOKUP(Table1[[#This Row],[Called Node]],Nodes!A:D,4,0)</f>
        <v>25</v>
      </c>
      <c r="I445">
        <f>VLOOKUP(Table1[[#This Row],[Called Node]],Nodes!A:E,5,0)</f>
        <v>1</v>
      </c>
    </row>
    <row r="446" spans="1:9" x14ac:dyDescent="0.3">
      <c r="A446" t="s">
        <v>262</v>
      </c>
      <c r="B446" s="2" t="str">
        <f>VLOOKUP(Table1[[#This Row],[Calling Node]],Nodes!A:B,2,0)</f>
        <v>harvest_R5_SUSHI_result</v>
      </c>
      <c r="C446" t="s">
        <v>32</v>
      </c>
      <c r="D446" t="str">
        <f>VLOOKUP(Table1[[#This Row],[Called Node]],Nodes!A:B,2,0)</f>
        <v>_harvest_R5_SUSHI</v>
      </c>
      <c r="E446" s="3" t="str">
        <f>Table1[[#This Row],[Calling Node]]&amp;" -&gt; "&amp;Table1[[#This Row],[Called Node]]</f>
        <v>harvest_R5_SUSHI_result_in_test_AnnualUsageCollectionTracking -&gt; _harvest_R5_SUSHI</v>
      </c>
      <c r="F446">
        <f>VLOOKUP(Table1[[#This Row],[Calling Node]],Nodes!A:D,4,0)</f>
        <v>27</v>
      </c>
      <c r="G446">
        <f>VLOOKUP(Table1[[#This Row],[Calling Node]],Nodes!A:E,5,0)</f>
        <v>2</v>
      </c>
      <c r="H446">
        <f>VLOOKUP(Table1[[#This Row],[Called Node]],Nodes!A:D,4,0)</f>
        <v>6</v>
      </c>
      <c r="I446">
        <f>VLOOKUP(Table1[[#This Row],[Called Node]],Nodes!A:E,5,0)</f>
        <v>3</v>
      </c>
    </row>
    <row r="447" spans="1:9" x14ac:dyDescent="0.3">
      <c r="A447" t="s">
        <v>262</v>
      </c>
      <c r="B447" s="2" t="str">
        <f>VLOOKUP(Table1[[#This Row],[Calling Node]],Nodes!A:B,2,0)</f>
        <v>harvest_R5_SUSHI_result</v>
      </c>
      <c r="C447" t="s">
        <v>57</v>
      </c>
      <c r="D447" t="str">
        <f>VLOOKUP(Table1[[#This Row],[Called Node]],Nodes!A:B,2,0)</f>
        <v>make_SUSHI_call</v>
      </c>
      <c r="E447" s="3" t="str">
        <f>Table1[[#This Row],[Calling Node]]&amp;" -&gt; "&amp;Table1[[#This Row],[Called Node]]</f>
        <v>harvest_R5_SUSHI_result_in_test_AnnualUsageCollectionTracking -&gt; make_SUSHI_call</v>
      </c>
      <c r="F447">
        <f>VLOOKUP(Table1[[#This Row],[Calling Node]],Nodes!A:D,4,0)</f>
        <v>27</v>
      </c>
      <c r="G447">
        <f>VLOOKUP(Table1[[#This Row],[Calling Node]],Nodes!A:E,5,0)</f>
        <v>2</v>
      </c>
      <c r="H447">
        <f>VLOOKUP(Table1[[#This Row],[Called Node]],Nodes!A:D,4,0)</f>
        <v>13</v>
      </c>
      <c r="I447">
        <f>VLOOKUP(Table1[[#This Row],[Called Node]],Nodes!A:E,5,0)</f>
        <v>1</v>
      </c>
    </row>
    <row r="448" spans="1:9" x14ac:dyDescent="0.3">
      <c r="A448" t="s">
        <v>262</v>
      </c>
      <c r="B448" s="2" t="str">
        <f>VLOOKUP(Table1[[#This Row],[Calling Node]],Nodes!A:B,2,0)</f>
        <v>harvest_R5_SUSHI_result</v>
      </c>
      <c r="C448" t="s">
        <v>123</v>
      </c>
      <c r="D448" t="str">
        <f>VLOOKUP(Table1[[#This Row],[Called Node]],Nodes!A:B,2,0)</f>
        <v>query_database</v>
      </c>
      <c r="E448" s="3" t="str">
        <f>Table1[[#This Row],[Calling Node]]&amp;" -&gt; "&amp;Table1[[#This Row],[Called Node]]</f>
        <v>harvest_R5_SUSHI_result_in_test_AnnualUsageCollectionTracking -&gt; query_database</v>
      </c>
      <c r="F448">
        <f>VLOOKUP(Table1[[#This Row],[Calling Node]],Nodes!A:D,4,0)</f>
        <v>27</v>
      </c>
      <c r="G448">
        <f>VLOOKUP(Table1[[#This Row],[Calling Node]],Nodes!A:E,5,0)</f>
        <v>2</v>
      </c>
      <c r="H448">
        <f>VLOOKUP(Table1[[#This Row],[Called Node]],Nodes!A:D,4,0)</f>
        <v>22</v>
      </c>
      <c r="I448">
        <f>VLOOKUP(Table1[[#This Row],[Called Node]],Nodes!A:E,5,0)</f>
        <v>17</v>
      </c>
    </row>
    <row r="449" spans="1:9" x14ac:dyDescent="0.3">
      <c r="A449" t="s">
        <v>262</v>
      </c>
      <c r="B449" s="2" t="str">
        <f>VLOOKUP(Table1[[#This Row],[Calling Node]],Nodes!A:B,2,0)</f>
        <v>harvest_R5_SUSHI_result</v>
      </c>
      <c r="C449" t="s">
        <v>147</v>
      </c>
      <c r="D449" t="str">
        <f>VLOOKUP(Table1[[#This Row],[Called Node]],Nodes!A:B,2,0)</f>
        <v>unable_to_delete_test_file_in_S3_statement</v>
      </c>
      <c r="E449" s="3" t="str">
        <f>Table1[[#This Row],[Calling Node]]&amp;" -&gt; "&amp;Table1[[#This Row],[Called Node]]</f>
        <v>harvest_R5_SUSHI_result_in_test_AnnualUsageCollectionTracking -&gt; unable_to_delete_test_file_in_S3_statement</v>
      </c>
      <c r="F449">
        <f>VLOOKUP(Table1[[#This Row],[Calling Node]],Nodes!A:D,4,0)</f>
        <v>27</v>
      </c>
      <c r="G449">
        <f>VLOOKUP(Table1[[#This Row],[Calling Node]],Nodes!A:E,5,0)</f>
        <v>2</v>
      </c>
      <c r="H449">
        <f>VLOOKUP(Table1[[#This Row],[Called Node]],Nodes!A:D,4,0)</f>
        <v>23</v>
      </c>
      <c r="I449">
        <f>VLOOKUP(Table1[[#This Row],[Called Node]],Nodes!A:E,5,0)</f>
        <v>13</v>
      </c>
    </row>
    <row r="450" spans="1:9" x14ac:dyDescent="0.3">
      <c r="A450" t="s">
        <v>262</v>
      </c>
      <c r="B450" s="2" t="str">
        <f>VLOOKUP(Table1[[#This Row],[Calling Node]],Nodes!A:B,2,0)</f>
        <v>harvest_R5_SUSHI_result</v>
      </c>
      <c r="C450" t="s">
        <v>148</v>
      </c>
      <c r="D450" t="str">
        <f>VLOOKUP(Table1[[#This Row],[Called Node]],Nodes!A:B,2,0)</f>
        <v>upload_file_to_S3_bucket_success_regex</v>
      </c>
      <c r="E450" s="3" t="str">
        <f>Table1[[#This Row],[Calling Node]]&amp;" -&gt; "&amp;Table1[[#This Row],[Called Node]]</f>
        <v>harvest_R5_SUSHI_result_in_test_AnnualUsageCollectionTracking -&gt; upload_file_to_S3_bucket_success_regex</v>
      </c>
      <c r="F450">
        <f>VLOOKUP(Table1[[#This Row],[Calling Node]],Nodes!A:D,4,0)</f>
        <v>27</v>
      </c>
      <c r="G450">
        <f>VLOOKUP(Table1[[#This Row],[Calling Node]],Nodes!A:E,5,0)</f>
        <v>2</v>
      </c>
      <c r="H450">
        <f>VLOOKUP(Table1[[#This Row],[Called Node]],Nodes!A:D,4,0)</f>
        <v>23</v>
      </c>
      <c r="I450">
        <f>VLOOKUP(Table1[[#This Row],[Called Node]],Nodes!A:E,5,0)</f>
        <v>14</v>
      </c>
    </row>
    <row r="451" spans="1:9" x14ac:dyDescent="0.3">
      <c r="A451" t="s">
        <v>262</v>
      </c>
      <c r="B451" s="2" t="str">
        <f>VLOOKUP(Table1[[#This Row],[Calling Node]],Nodes!A:B,2,0)</f>
        <v>harvest_R5_SUSHI_result</v>
      </c>
      <c r="C451" t="s">
        <v>150</v>
      </c>
      <c r="D451" t="str">
        <f>VLOOKUP(Table1[[#This Row],[Called Node]],Nodes!A:B,2,0)</f>
        <v>return_value_from_query_statement</v>
      </c>
      <c r="E451" s="3" t="str">
        <f>Table1[[#This Row],[Calling Node]]&amp;" -&gt; "&amp;Table1[[#This Row],[Called Node]]</f>
        <v>harvest_R5_SUSHI_result_in_test_AnnualUsageCollectionTracking -&gt; return_value_from_query_statement</v>
      </c>
      <c r="F451">
        <f>VLOOKUP(Table1[[#This Row],[Calling Node]],Nodes!A:D,4,0)</f>
        <v>27</v>
      </c>
      <c r="G451">
        <f>VLOOKUP(Table1[[#This Row],[Calling Node]],Nodes!A:E,5,0)</f>
        <v>2</v>
      </c>
      <c r="H451">
        <f>VLOOKUP(Table1[[#This Row],[Called Node]],Nodes!A:D,4,0)</f>
        <v>23</v>
      </c>
      <c r="I451">
        <f>VLOOKUP(Table1[[#This Row],[Called Node]],Nodes!A:E,5,0)</f>
        <v>16</v>
      </c>
    </row>
    <row r="452" spans="1:9" x14ac:dyDescent="0.3">
      <c r="A452" t="s">
        <v>262</v>
      </c>
      <c r="B452" s="2" t="str">
        <f>VLOOKUP(Table1[[#This Row],[Calling Node]],Nodes!A:B,2,0)</f>
        <v>harvest_R5_SUSHI_result</v>
      </c>
      <c r="C452" t="s">
        <v>155</v>
      </c>
      <c r="D452" t="str">
        <f>VLOOKUP(Table1[[#This Row],[Called Node]],Nodes!A:B,2,0)</f>
        <v>database_function_skip_statements</v>
      </c>
      <c r="E452" s="3" t="str">
        <f>Table1[[#This Row],[Calling Node]]&amp;" -&gt; "&amp;Table1[[#This Row],[Called Node]]</f>
        <v>harvest_R5_SUSHI_result_in_test_AnnualUsageCollectionTracking -&gt; database_function_skip_statements</v>
      </c>
      <c r="F452">
        <f>VLOOKUP(Table1[[#This Row],[Calling Node]],Nodes!A:D,4,0)</f>
        <v>27</v>
      </c>
      <c r="G452">
        <f>VLOOKUP(Table1[[#This Row],[Calling Node]],Nodes!A:E,5,0)</f>
        <v>2</v>
      </c>
      <c r="H452">
        <f>VLOOKUP(Table1[[#This Row],[Called Node]],Nodes!A:D,4,0)</f>
        <v>23</v>
      </c>
      <c r="I452">
        <f>VLOOKUP(Table1[[#This Row],[Called Node]],Nodes!A:E,5,0)</f>
        <v>21</v>
      </c>
    </row>
    <row r="453" spans="1:9" x14ac:dyDescent="0.3">
      <c r="A453" t="s">
        <v>262</v>
      </c>
      <c r="B453" s="2" t="str">
        <f>VLOOKUP(Table1[[#This Row],[Calling Node]],Nodes!A:B,2,0)</f>
        <v>harvest_R5_SUSHI_result</v>
      </c>
      <c r="C453" t="s">
        <v>215</v>
      </c>
      <c r="D453" t="str">
        <f>VLOOKUP(Table1[[#This Row],[Called Node]],Nodes!A:B,2,0)</f>
        <v>engine</v>
      </c>
      <c r="E453" s="3" t="str">
        <f>Table1[[#This Row],[Calling Node]]&amp;" -&gt; "&amp;Table1[[#This Row],[Called Node]]</f>
        <v>harvest_R5_SUSHI_result_in_test_AnnualUsageCollectionTracking -&gt; engine</v>
      </c>
      <c r="F453">
        <f>VLOOKUP(Table1[[#This Row],[Calling Node]],Nodes!A:D,4,0)</f>
        <v>27</v>
      </c>
      <c r="G453">
        <f>VLOOKUP(Table1[[#This Row],[Calling Node]],Nodes!A:E,5,0)</f>
        <v>2</v>
      </c>
      <c r="H453">
        <f>VLOOKUP(Table1[[#This Row],[Called Node]],Nodes!A:D,4,0)</f>
        <v>25</v>
      </c>
      <c r="I453">
        <f>VLOOKUP(Table1[[#This Row],[Called Node]],Nodes!A:E,5,0)</f>
        <v>1</v>
      </c>
    </row>
    <row r="454" spans="1:9" x14ac:dyDescent="0.3">
      <c r="A454" t="s">
        <v>262</v>
      </c>
      <c r="B454" s="2" t="str">
        <f>VLOOKUP(Table1[[#This Row],[Calling Node]],Nodes!A:B,2,0)</f>
        <v>harvest_R5_SUSHI_result</v>
      </c>
      <c r="C454" t="s">
        <v>261</v>
      </c>
      <c r="D454" t="str">
        <f>VLOOKUP(Table1[[#This Row],[Called Node]],Nodes!A:B,2,0)</f>
        <v>AUCT_fixture_for_SUSHI</v>
      </c>
      <c r="E454" s="3" t="str">
        <f>Table1[[#This Row],[Calling Node]]&amp;" -&gt; "&amp;Table1[[#This Row],[Called Node]]</f>
        <v>harvest_R5_SUSHI_result_in_test_AnnualUsageCollectionTracking -&gt; AUCT_fixture_for_SUSHI</v>
      </c>
      <c r="F454">
        <f>VLOOKUP(Table1[[#This Row],[Calling Node]],Nodes!A:D,4,0)</f>
        <v>27</v>
      </c>
      <c r="G454">
        <f>VLOOKUP(Table1[[#This Row],[Calling Node]],Nodes!A:E,5,0)</f>
        <v>2</v>
      </c>
      <c r="H454">
        <f>VLOOKUP(Table1[[#This Row],[Called Node]],Nodes!A:D,4,0)</f>
        <v>27</v>
      </c>
      <c r="I454">
        <f>VLOOKUP(Table1[[#This Row],[Called Node]],Nodes!A:E,5,0)</f>
        <v>1</v>
      </c>
    </row>
    <row r="455" spans="1:9" x14ac:dyDescent="0.3">
      <c r="A455" t="s">
        <v>264</v>
      </c>
      <c r="B455" t="str">
        <f>VLOOKUP(Table1[[#This Row],[Calling Node]],Nodes!A:B,2,0)</f>
        <v>test_collect_annual_usage_statistics</v>
      </c>
      <c r="C455" t="s">
        <v>51</v>
      </c>
      <c r="D455" t="str">
        <f>VLOOKUP(Table1[[#This Row],[Called Node]],Nodes!A:B,2,0)</f>
        <v>collect_annual_usage_statistics</v>
      </c>
      <c r="E455" s="3" t="str">
        <f>Table1[[#This Row],[Calling Node]]&amp;" -&gt; "&amp;Table1[[#This Row],[Called Node]]</f>
        <v>test_collect_annual_usage_statistics -&gt; collect_annual_usage_statistics</v>
      </c>
      <c r="F455">
        <f>VLOOKUP(Table1[[#This Row],[Calling Node]],Nodes!A:D,4,0)</f>
        <v>27</v>
      </c>
      <c r="G455">
        <f>VLOOKUP(Table1[[#This Row],[Calling Node]],Nodes!A:E,5,0)</f>
        <v>3</v>
      </c>
      <c r="H455">
        <f>VLOOKUP(Table1[[#This Row],[Called Node]],Nodes!A:D,4,0)</f>
        <v>11</v>
      </c>
      <c r="I455">
        <f>VLOOKUP(Table1[[#This Row],[Called Node]],Nodes!A:E,5,0)</f>
        <v>2</v>
      </c>
    </row>
    <row r="456" spans="1:9" x14ac:dyDescent="0.3">
      <c r="A456" t="s">
        <v>264</v>
      </c>
      <c r="B456" t="str">
        <f>VLOOKUP(Table1[[#This Row],[Calling Node]],Nodes!A:B,2,0)</f>
        <v>test_collect_annual_usage_statistics</v>
      </c>
      <c r="C456" t="s">
        <v>123</v>
      </c>
      <c r="D456" t="str">
        <f>VLOOKUP(Table1[[#This Row],[Called Node]],Nodes!A:B,2,0)</f>
        <v>query_database</v>
      </c>
      <c r="E456" s="3" t="str">
        <f>Table1[[#This Row],[Calling Node]]&amp;" -&gt; "&amp;Table1[[#This Row],[Called Node]]</f>
        <v>test_collect_annual_usage_statistics -&gt; query_database</v>
      </c>
      <c r="F456">
        <f>VLOOKUP(Table1[[#This Row],[Calling Node]],Nodes!A:D,4,0)</f>
        <v>27</v>
      </c>
      <c r="G456">
        <f>VLOOKUP(Table1[[#This Row],[Calling Node]],Nodes!A:E,5,0)</f>
        <v>3</v>
      </c>
      <c r="H456">
        <f>VLOOKUP(Table1[[#This Row],[Called Node]],Nodes!A:D,4,0)</f>
        <v>22</v>
      </c>
      <c r="I456">
        <f>VLOOKUP(Table1[[#This Row],[Called Node]],Nodes!A:E,5,0)</f>
        <v>17</v>
      </c>
    </row>
    <row r="457" spans="1:9" x14ac:dyDescent="0.3">
      <c r="A457" t="s">
        <v>264</v>
      </c>
      <c r="B457" t="str">
        <f>VLOOKUP(Table1[[#This Row],[Calling Node]],Nodes!A:B,2,0)</f>
        <v>test_collect_annual_usage_statistics</v>
      </c>
      <c r="C457" t="s">
        <v>130</v>
      </c>
      <c r="D457" t="str">
        <f>VLOOKUP(Table1[[#This Row],[Called Node]],Nodes!A:B,2,0)</f>
        <v>extract_value_from_single_value_df</v>
      </c>
      <c r="E457" s="3" t="str">
        <f>Table1[[#This Row],[Calling Node]]&amp;" -&gt; "&amp;Table1[[#This Row],[Called Node]]</f>
        <v>test_collect_annual_usage_statistics -&gt; extract_value_from_single_value_df</v>
      </c>
      <c r="F457">
        <f>VLOOKUP(Table1[[#This Row],[Calling Node]],Nodes!A:D,4,0)</f>
        <v>27</v>
      </c>
      <c r="G457">
        <f>VLOOKUP(Table1[[#This Row],[Calling Node]],Nodes!A:E,5,0)</f>
        <v>3</v>
      </c>
      <c r="H457">
        <f>VLOOKUP(Table1[[#This Row],[Called Node]],Nodes!A:D,4,0)</f>
        <v>22</v>
      </c>
      <c r="I457">
        <f>VLOOKUP(Table1[[#This Row],[Called Node]],Nodes!A:E,5,0)</f>
        <v>24</v>
      </c>
    </row>
    <row r="458" spans="1:9" x14ac:dyDescent="0.3">
      <c r="A458" t="s">
        <v>264</v>
      </c>
      <c r="B458" t="str">
        <f>VLOOKUP(Table1[[#This Row],[Calling Node]],Nodes!A:B,2,0)</f>
        <v>test_collect_annual_usage_statistics</v>
      </c>
      <c r="C458" t="s">
        <v>155</v>
      </c>
      <c r="D458" t="str">
        <f>VLOOKUP(Table1[[#This Row],[Called Node]],Nodes!A:B,2,0)</f>
        <v>database_function_skip_statements</v>
      </c>
      <c r="E458" s="3" t="str">
        <f>Table1[[#This Row],[Calling Node]]&amp;" -&gt; "&amp;Table1[[#This Row],[Called Node]]</f>
        <v>test_collect_annual_usage_statistics -&gt; database_function_skip_statements</v>
      </c>
      <c r="F458">
        <f>VLOOKUP(Table1[[#This Row],[Calling Node]],Nodes!A:D,4,0)</f>
        <v>27</v>
      </c>
      <c r="G458">
        <f>VLOOKUP(Table1[[#This Row],[Calling Node]],Nodes!A:E,5,0)</f>
        <v>3</v>
      </c>
      <c r="H458">
        <f>VLOOKUP(Table1[[#This Row],[Called Node]],Nodes!A:D,4,0)</f>
        <v>23</v>
      </c>
      <c r="I458">
        <f>VLOOKUP(Table1[[#This Row],[Called Node]],Nodes!A:E,5,0)</f>
        <v>21</v>
      </c>
    </row>
    <row r="459" spans="1:9" x14ac:dyDescent="0.3">
      <c r="A459" t="s">
        <v>264</v>
      </c>
      <c r="B459" t="str">
        <f>VLOOKUP(Table1[[#This Row],[Calling Node]],Nodes!A:B,2,0)</f>
        <v>test_collect_annual_usage_statistics</v>
      </c>
      <c r="C459" t="s">
        <v>156</v>
      </c>
      <c r="D459" t="str">
        <f>VLOOKUP(Table1[[#This Row],[Called Node]],Nodes!A:B,2,0)</f>
        <v>load_data_into_database_success_regex</v>
      </c>
      <c r="E459" s="3" t="str">
        <f>Table1[[#This Row],[Calling Node]]&amp;" -&gt; "&amp;Table1[[#This Row],[Called Node]]</f>
        <v>test_collect_annual_usage_statistics -&gt; load_data_into_database_success_regex</v>
      </c>
      <c r="F459">
        <f>VLOOKUP(Table1[[#This Row],[Calling Node]],Nodes!A:D,4,0)</f>
        <v>27</v>
      </c>
      <c r="G459">
        <f>VLOOKUP(Table1[[#This Row],[Calling Node]],Nodes!A:E,5,0)</f>
        <v>3</v>
      </c>
      <c r="H459">
        <f>VLOOKUP(Table1[[#This Row],[Called Node]],Nodes!A:D,4,0)</f>
        <v>23</v>
      </c>
      <c r="I459">
        <f>VLOOKUP(Table1[[#This Row],[Called Node]],Nodes!A:E,5,0)</f>
        <v>22</v>
      </c>
    </row>
    <row r="460" spans="1:9" x14ac:dyDescent="0.3">
      <c r="A460" t="s">
        <v>264</v>
      </c>
      <c r="B460" t="str">
        <f>VLOOKUP(Table1[[#This Row],[Calling Node]],Nodes!A:B,2,0)</f>
        <v>test_collect_annual_usage_statistics</v>
      </c>
      <c r="C460" t="s">
        <v>157</v>
      </c>
      <c r="D460" t="str">
        <f>VLOOKUP(Table1[[#This Row],[Called Node]],Nodes!A:B,2,0)</f>
        <v>update_database_success_regex</v>
      </c>
      <c r="E460" s="3" t="str">
        <f>Table1[[#This Row],[Calling Node]]&amp;" -&gt; "&amp;Table1[[#This Row],[Called Node]]</f>
        <v>test_collect_annual_usage_statistics -&gt; update_database_success_regex</v>
      </c>
      <c r="F460">
        <f>VLOOKUP(Table1[[#This Row],[Calling Node]],Nodes!A:D,4,0)</f>
        <v>27</v>
      </c>
      <c r="G460">
        <f>VLOOKUP(Table1[[#This Row],[Calling Node]],Nodes!A:E,5,0)</f>
        <v>3</v>
      </c>
      <c r="H460">
        <f>VLOOKUP(Table1[[#This Row],[Called Node]],Nodes!A:D,4,0)</f>
        <v>23</v>
      </c>
      <c r="I460">
        <f>VLOOKUP(Table1[[#This Row],[Called Node]],Nodes!A:E,5,0)</f>
        <v>23</v>
      </c>
    </row>
    <row r="461" spans="1:9" x14ac:dyDescent="0.3">
      <c r="A461" t="s">
        <v>264</v>
      </c>
      <c r="B461" t="str">
        <f>VLOOKUP(Table1[[#This Row],[Calling Node]],Nodes!A:B,2,0)</f>
        <v>test_collect_annual_usage_statistics</v>
      </c>
      <c r="C461" t="s">
        <v>215</v>
      </c>
      <c r="D461" t="str">
        <f>VLOOKUP(Table1[[#This Row],[Called Node]],Nodes!A:B,2,0)</f>
        <v>engine</v>
      </c>
      <c r="E461" s="3" t="str">
        <f>Table1[[#This Row],[Calling Node]]&amp;" -&gt; "&amp;Table1[[#This Row],[Called Node]]</f>
        <v>test_collect_annual_usage_statistics -&gt; engine</v>
      </c>
      <c r="F461">
        <f>VLOOKUP(Table1[[#This Row],[Calling Node]],Nodes!A:D,4,0)</f>
        <v>27</v>
      </c>
      <c r="G461">
        <f>VLOOKUP(Table1[[#This Row],[Calling Node]],Nodes!A:E,5,0)</f>
        <v>3</v>
      </c>
      <c r="H461">
        <f>VLOOKUP(Table1[[#This Row],[Called Node]],Nodes!A:D,4,0)</f>
        <v>25</v>
      </c>
      <c r="I461">
        <f>VLOOKUP(Table1[[#This Row],[Called Node]],Nodes!A:E,5,0)</f>
        <v>1</v>
      </c>
    </row>
    <row r="462" spans="1:9" x14ac:dyDescent="0.3">
      <c r="A462" t="s">
        <v>264</v>
      </c>
      <c r="B462" t="str">
        <f>VLOOKUP(Table1[[#This Row],[Calling Node]],Nodes!A:B,2,0)</f>
        <v>test_collect_annual_usage_statistics</v>
      </c>
      <c r="C462" t="s">
        <v>217</v>
      </c>
      <c r="D462" t="str">
        <f>VLOOKUP(Table1[[#This Row],[Called Node]],Nodes!A:B,2,0)</f>
        <v>client</v>
      </c>
      <c r="E462" s="3" t="str">
        <f>Table1[[#This Row],[Calling Node]]&amp;" -&gt; "&amp;Table1[[#This Row],[Called Node]]</f>
        <v>test_collect_annual_usage_statistics -&gt; client</v>
      </c>
      <c r="F462">
        <f>VLOOKUP(Table1[[#This Row],[Calling Node]],Nodes!A:D,4,0)</f>
        <v>27</v>
      </c>
      <c r="G462">
        <f>VLOOKUP(Table1[[#This Row],[Calling Node]],Nodes!A:E,5,0)</f>
        <v>3</v>
      </c>
      <c r="H462">
        <f>VLOOKUP(Table1[[#This Row],[Called Node]],Nodes!A:D,4,0)</f>
        <v>25</v>
      </c>
      <c r="I462">
        <f>VLOOKUP(Table1[[#This Row],[Called Node]],Nodes!A:E,5,0)</f>
        <v>3</v>
      </c>
    </row>
    <row r="463" spans="1:9" x14ac:dyDescent="0.3">
      <c r="A463" t="s">
        <v>264</v>
      </c>
      <c r="B463" t="str">
        <f>VLOOKUP(Table1[[#This Row],[Calling Node]],Nodes!A:B,2,0)</f>
        <v>test_collect_annual_usage_statistics</v>
      </c>
      <c r="C463" t="s">
        <v>255</v>
      </c>
      <c r="D463" t="str">
        <f>VLOOKUP(Table1[[#This Row],[Called Node]],Nodes!A:B,2,0)</f>
        <v>match_direct_SUSHI_harvest_result</v>
      </c>
      <c r="E463" s="3" t="str">
        <f>Table1[[#This Row],[Calling Node]]&amp;" -&gt; "&amp;Table1[[#This Row],[Called Node]]</f>
        <v>test_collect_annual_usage_statistics -&gt; match_direct_SUSHI_harvest_result</v>
      </c>
      <c r="F463">
        <f>VLOOKUP(Table1[[#This Row],[Calling Node]],Nodes!A:D,4,0)</f>
        <v>27</v>
      </c>
      <c r="G463">
        <f>VLOOKUP(Table1[[#This Row],[Calling Node]],Nodes!A:E,5,0)</f>
        <v>3</v>
      </c>
      <c r="H463">
        <f>VLOOKUP(Table1[[#This Row],[Called Node]],Nodes!A:D,4,0)</f>
        <v>25</v>
      </c>
      <c r="I463">
        <f>VLOOKUP(Table1[[#This Row],[Called Node]],Nodes!A:E,5,0)</f>
        <v>41</v>
      </c>
    </row>
    <row r="464" spans="1:9" x14ac:dyDescent="0.3">
      <c r="A464" t="s">
        <v>264</v>
      </c>
      <c r="B464" t="str">
        <f>VLOOKUP(Table1[[#This Row],[Calling Node]],Nodes!A:B,2,0)</f>
        <v>test_collect_annual_usage_statistics</v>
      </c>
      <c r="C464" t="s">
        <v>261</v>
      </c>
      <c r="D464" t="str">
        <f>VLOOKUP(Table1[[#This Row],[Called Node]],Nodes!A:B,2,0)</f>
        <v>AUCT_fixture_for_SUSHI</v>
      </c>
      <c r="E464" s="3" t="str">
        <f>Table1[[#This Row],[Calling Node]]&amp;" -&gt; "&amp;Table1[[#This Row],[Called Node]]</f>
        <v>test_collect_annual_usage_statistics -&gt; AUCT_fixture_for_SUSHI</v>
      </c>
      <c r="F464">
        <f>VLOOKUP(Table1[[#This Row],[Calling Node]],Nodes!A:D,4,0)</f>
        <v>27</v>
      </c>
      <c r="G464">
        <f>VLOOKUP(Table1[[#This Row],[Calling Node]],Nodes!A:E,5,0)</f>
        <v>3</v>
      </c>
      <c r="H464">
        <f>VLOOKUP(Table1[[#This Row],[Called Node]],Nodes!A:D,4,0)</f>
        <v>27</v>
      </c>
      <c r="I464">
        <f>VLOOKUP(Table1[[#This Row],[Called Node]],Nodes!A:E,5,0)</f>
        <v>1</v>
      </c>
    </row>
    <row r="465" spans="1:9" x14ac:dyDescent="0.3">
      <c r="A465" t="s">
        <v>264</v>
      </c>
      <c r="B465" t="str">
        <f>VLOOKUP(Table1[[#This Row],[Calling Node]],Nodes!A:B,2,0)</f>
        <v>test_collect_annual_usage_statistics</v>
      </c>
      <c r="C465" t="s">
        <v>262</v>
      </c>
      <c r="D465" s="2" t="str">
        <f>VLOOKUP(Table1[[#This Row],[Called Node]],Nodes!A:B,2,0)</f>
        <v>harvest_R5_SUSHI_result</v>
      </c>
      <c r="E465" s="3" t="str">
        <f>Table1[[#This Row],[Calling Node]]&amp;" -&gt; "&amp;Table1[[#This Row],[Called Node]]</f>
        <v>test_collect_annual_usage_statistics -&gt; harvest_R5_SUSHI_result_in_test_AnnualUsageCollectionTracking</v>
      </c>
      <c r="F465">
        <f>VLOOKUP(Table1[[#This Row],[Calling Node]],Nodes!A:D,4,0)</f>
        <v>27</v>
      </c>
      <c r="G465">
        <f>VLOOKUP(Table1[[#This Row],[Calling Node]],Nodes!A:E,5,0)</f>
        <v>3</v>
      </c>
      <c r="H465">
        <f>VLOOKUP(Table1[[#This Row],[Called Node]],Nodes!A:D,4,0)</f>
        <v>27</v>
      </c>
      <c r="I465">
        <f>VLOOKUP(Table1[[#This Row],[Called Node]],Nodes!A:E,5,0)</f>
        <v>2</v>
      </c>
    </row>
    <row r="466" spans="1:9" x14ac:dyDescent="0.3">
      <c r="A466" t="s">
        <v>265</v>
      </c>
      <c r="B466" t="str">
        <f>VLOOKUP(Table1[[#This Row],[Calling Node]],Nodes!A:B,2,0)</f>
        <v>sample_FileStorage_object</v>
      </c>
      <c r="C466" t="s">
        <v>248</v>
      </c>
      <c r="D466" t="str">
        <f>VLOOKUP(Table1[[#This Row],[Called Node]],Nodes!A:B,2,0)</f>
        <v>path_to_sample_file</v>
      </c>
      <c r="E466" s="3" t="str">
        <f>Table1[[#This Row],[Calling Node]]&amp;" -&gt; "&amp;Table1[[#This Row],[Called Node]]</f>
        <v>sample_FileStorage_object -&gt; path_to_sample_file</v>
      </c>
      <c r="F466">
        <f>VLOOKUP(Table1[[#This Row],[Calling Node]],Nodes!A:D,4,0)</f>
        <v>27</v>
      </c>
      <c r="G466">
        <f>VLOOKUP(Table1[[#This Row],[Calling Node]],Nodes!A:E,5,0)</f>
        <v>4</v>
      </c>
      <c r="H466">
        <f>VLOOKUP(Table1[[#This Row],[Called Node]],Nodes!A:D,4,0)</f>
        <v>25</v>
      </c>
      <c r="I466">
        <f>VLOOKUP(Table1[[#This Row],[Called Node]],Nodes!A:E,5,0)</f>
        <v>34</v>
      </c>
    </row>
    <row r="467" spans="1:9" x14ac:dyDescent="0.3">
      <c r="A467" t="s">
        <v>266</v>
      </c>
      <c r="B467" t="str">
        <f>VLOOKUP(Table1[[#This Row],[Calling Node]],Nodes!A:B,2,0)</f>
        <v>test_upload_nonstandard_usage_file</v>
      </c>
      <c r="C467" t="s">
        <v>52</v>
      </c>
      <c r="D467" t="str">
        <f>VLOOKUP(Table1[[#This Row],[Called Node]],Nodes!A:B,2,0)</f>
        <v>upload_nonstandard_usage_file</v>
      </c>
      <c r="E467" s="3" t="str">
        <f>Table1[[#This Row],[Calling Node]]&amp;" -&gt; "&amp;Table1[[#This Row],[Called Node]]</f>
        <v>test_upload_nonstandard_usage_file -&gt; upload_nonstandard_usage_file</v>
      </c>
      <c r="F467">
        <f>VLOOKUP(Table1[[#This Row],[Calling Node]],Nodes!A:D,4,0)</f>
        <v>27</v>
      </c>
      <c r="G467">
        <f>VLOOKUP(Table1[[#This Row],[Calling Node]],Nodes!A:E,5,0)</f>
        <v>5</v>
      </c>
      <c r="H467">
        <f>VLOOKUP(Table1[[#This Row],[Called Node]],Nodes!A:D,4,0)</f>
        <v>11</v>
      </c>
      <c r="I467">
        <f>VLOOKUP(Table1[[#This Row],[Called Node]],Nodes!A:E,5,0)</f>
        <v>3</v>
      </c>
    </row>
    <row r="468" spans="1:9" x14ac:dyDescent="0.3">
      <c r="A468" t="s">
        <v>266</v>
      </c>
      <c r="B468" t="str">
        <f>VLOOKUP(Table1[[#This Row],[Calling Node]],Nodes!A:B,2,0)</f>
        <v>test_upload_nonstandard_usage_file</v>
      </c>
      <c r="C468" t="s">
        <v>123</v>
      </c>
      <c r="D468" t="str">
        <f>VLOOKUP(Table1[[#This Row],[Called Node]],Nodes!A:B,2,0)</f>
        <v>query_database</v>
      </c>
      <c r="E468" s="3" t="str">
        <f>Table1[[#This Row],[Calling Node]]&amp;" -&gt; "&amp;Table1[[#This Row],[Called Node]]</f>
        <v>test_upload_nonstandard_usage_file -&gt; query_database</v>
      </c>
      <c r="F468">
        <f>VLOOKUP(Table1[[#This Row],[Calling Node]],Nodes!A:D,4,0)</f>
        <v>27</v>
      </c>
      <c r="G468">
        <f>VLOOKUP(Table1[[#This Row],[Calling Node]],Nodes!A:E,5,0)</f>
        <v>5</v>
      </c>
      <c r="H468">
        <f>VLOOKUP(Table1[[#This Row],[Called Node]],Nodes!A:D,4,0)</f>
        <v>22</v>
      </c>
      <c r="I468">
        <f>VLOOKUP(Table1[[#This Row],[Called Node]],Nodes!A:E,5,0)</f>
        <v>17</v>
      </c>
    </row>
    <row r="469" spans="1:9" x14ac:dyDescent="0.3">
      <c r="A469" t="s">
        <v>266</v>
      </c>
      <c r="B469" t="str">
        <f>VLOOKUP(Table1[[#This Row],[Calling Node]],Nodes!A:B,2,0)</f>
        <v>test_upload_nonstandard_usage_file</v>
      </c>
      <c r="C469" t="s">
        <v>130</v>
      </c>
      <c r="D469" t="str">
        <f>VLOOKUP(Table1[[#This Row],[Called Node]],Nodes!A:B,2,0)</f>
        <v>extract_value_from_single_value_df</v>
      </c>
      <c r="E469" s="3" t="str">
        <f>Table1[[#This Row],[Calling Node]]&amp;" -&gt; "&amp;Table1[[#This Row],[Called Node]]</f>
        <v>test_upload_nonstandard_usage_file -&gt; extract_value_from_single_value_df</v>
      </c>
      <c r="F469">
        <f>VLOOKUP(Table1[[#This Row],[Calling Node]],Nodes!A:D,4,0)</f>
        <v>27</v>
      </c>
      <c r="G469">
        <f>VLOOKUP(Table1[[#This Row],[Calling Node]],Nodes!A:E,5,0)</f>
        <v>5</v>
      </c>
      <c r="H469">
        <f>VLOOKUP(Table1[[#This Row],[Called Node]],Nodes!A:D,4,0)</f>
        <v>22</v>
      </c>
      <c r="I469">
        <f>VLOOKUP(Table1[[#This Row],[Called Node]],Nodes!A:E,5,0)</f>
        <v>24</v>
      </c>
    </row>
    <row r="470" spans="1:9" x14ac:dyDescent="0.3">
      <c r="A470" t="s">
        <v>266</v>
      </c>
      <c r="B470" t="str">
        <f>VLOOKUP(Table1[[#This Row],[Calling Node]],Nodes!A:B,2,0)</f>
        <v>test_upload_nonstandard_usage_file</v>
      </c>
      <c r="C470" t="s">
        <v>136</v>
      </c>
      <c r="D470" t="str">
        <f>VLOOKUP(Table1[[#This Row],[Called Node]],Nodes!A:B,2,0)</f>
        <v>format_list_for_stdout</v>
      </c>
      <c r="E470" s="3" t="str">
        <f>Table1[[#This Row],[Calling Node]]&amp;" -&gt; "&amp;Table1[[#This Row],[Called Node]]</f>
        <v>test_upload_nonstandard_usage_file -&gt; format_list_for_stdout</v>
      </c>
      <c r="F470">
        <f>VLOOKUP(Table1[[#This Row],[Calling Node]],Nodes!A:D,4,0)</f>
        <v>27</v>
      </c>
      <c r="G470">
        <f>VLOOKUP(Table1[[#This Row],[Calling Node]],Nodes!A:E,5,0)</f>
        <v>5</v>
      </c>
      <c r="H470">
        <f>VLOOKUP(Table1[[#This Row],[Called Node]],Nodes!A:D,4,0)</f>
        <v>23</v>
      </c>
      <c r="I470">
        <f>VLOOKUP(Table1[[#This Row],[Called Node]],Nodes!A:E,5,0)</f>
        <v>2</v>
      </c>
    </row>
    <row r="471" spans="1:9" x14ac:dyDescent="0.3">
      <c r="A471" t="s">
        <v>266</v>
      </c>
      <c r="B471" t="str">
        <f>VLOOKUP(Table1[[#This Row],[Calling Node]],Nodes!A:B,2,0)</f>
        <v>test_upload_nonstandard_usage_file</v>
      </c>
      <c r="C471" t="s">
        <v>149</v>
      </c>
      <c r="D471" t="str">
        <f>VLOOKUP(Table1[[#This Row],[Called Node]],Nodes!A:B,2,0)</f>
        <v>upload_nonstandard_usage_file_success_regex</v>
      </c>
      <c r="E471" s="3" t="str">
        <f>Table1[[#This Row],[Calling Node]]&amp;" -&gt; "&amp;Table1[[#This Row],[Called Node]]</f>
        <v>test_upload_nonstandard_usage_file -&gt; upload_nonstandard_usage_file_success_regex</v>
      </c>
      <c r="F471">
        <f>VLOOKUP(Table1[[#This Row],[Calling Node]],Nodes!A:D,4,0)</f>
        <v>27</v>
      </c>
      <c r="G471">
        <f>VLOOKUP(Table1[[#This Row],[Calling Node]],Nodes!A:E,5,0)</f>
        <v>5</v>
      </c>
      <c r="H471">
        <f>VLOOKUP(Table1[[#This Row],[Called Node]],Nodes!A:D,4,0)</f>
        <v>23</v>
      </c>
      <c r="I471">
        <f>VLOOKUP(Table1[[#This Row],[Called Node]],Nodes!A:E,5,0)</f>
        <v>15</v>
      </c>
    </row>
    <row r="472" spans="1:9" x14ac:dyDescent="0.3">
      <c r="A472" t="s">
        <v>266</v>
      </c>
      <c r="B472" t="str">
        <f>VLOOKUP(Table1[[#This Row],[Calling Node]],Nodes!A:B,2,0)</f>
        <v>test_upload_nonstandard_usage_file</v>
      </c>
      <c r="C472" t="s">
        <v>150</v>
      </c>
      <c r="D472" t="str">
        <f>VLOOKUP(Table1[[#This Row],[Called Node]],Nodes!A:B,2,0)</f>
        <v>return_value_from_query_statement</v>
      </c>
      <c r="E472" s="3" t="str">
        <f>Table1[[#This Row],[Calling Node]]&amp;" -&gt; "&amp;Table1[[#This Row],[Called Node]]</f>
        <v>test_upload_nonstandard_usage_file -&gt; return_value_from_query_statement</v>
      </c>
      <c r="F472">
        <f>VLOOKUP(Table1[[#This Row],[Calling Node]],Nodes!A:D,4,0)</f>
        <v>27</v>
      </c>
      <c r="G472">
        <f>VLOOKUP(Table1[[#This Row],[Calling Node]],Nodes!A:E,5,0)</f>
        <v>5</v>
      </c>
      <c r="H472">
        <f>VLOOKUP(Table1[[#This Row],[Called Node]],Nodes!A:D,4,0)</f>
        <v>23</v>
      </c>
      <c r="I472">
        <f>VLOOKUP(Table1[[#This Row],[Called Node]],Nodes!A:E,5,0)</f>
        <v>16</v>
      </c>
    </row>
    <row r="473" spans="1:9" x14ac:dyDescent="0.3">
      <c r="A473" t="s">
        <v>266</v>
      </c>
      <c r="B473" t="str">
        <f>VLOOKUP(Table1[[#This Row],[Calling Node]],Nodes!A:B,2,0)</f>
        <v>test_upload_nonstandard_usage_file</v>
      </c>
      <c r="C473" t="s">
        <v>155</v>
      </c>
      <c r="D473" t="str">
        <f>VLOOKUP(Table1[[#This Row],[Called Node]],Nodes!A:B,2,0)</f>
        <v>database_function_skip_statements</v>
      </c>
      <c r="E473" s="3" t="str">
        <f>Table1[[#This Row],[Calling Node]]&amp;" -&gt; "&amp;Table1[[#This Row],[Called Node]]</f>
        <v>test_upload_nonstandard_usage_file -&gt; database_function_skip_statements</v>
      </c>
      <c r="F473">
        <f>VLOOKUP(Table1[[#This Row],[Calling Node]],Nodes!A:D,4,0)</f>
        <v>27</v>
      </c>
      <c r="G473">
        <f>VLOOKUP(Table1[[#This Row],[Calling Node]],Nodes!A:E,5,0)</f>
        <v>5</v>
      </c>
      <c r="H473">
        <f>VLOOKUP(Table1[[#This Row],[Called Node]],Nodes!A:D,4,0)</f>
        <v>23</v>
      </c>
      <c r="I473">
        <f>VLOOKUP(Table1[[#This Row],[Called Node]],Nodes!A:E,5,0)</f>
        <v>21</v>
      </c>
    </row>
    <row r="474" spans="1:9" x14ac:dyDescent="0.3">
      <c r="A474" t="s">
        <v>266</v>
      </c>
      <c r="B474" t="str">
        <f>VLOOKUP(Table1[[#This Row],[Calling Node]],Nodes!A:B,2,0)</f>
        <v>test_upload_nonstandard_usage_file</v>
      </c>
      <c r="C474" t="s">
        <v>215</v>
      </c>
      <c r="D474" t="str">
        <f>VLOOKUP(Table1[[#This Row],[Called Node]],Nodes!A:B,2,0)</f>
        <v>engine</v>
      </c>
      <c r="E474" s="3" t="str">
        <f>Table1[[#This Row],[Calling Node]]&amp;" -&gt; "&amp;Table1[[#This Row],[Called Node]]</f>
        <v>test_upload_nonstandard_usage_file -&gt; engine</v>
      </c>
      <c r="F474">
        <f>VLOOKUP(Table1[[#This Row],[Calling Node]],Nodes!A:D,4,0)</f>
        <v>27</v>
      </c>
      <c r="G474">
        <f>VLOOKUP(Table1[[#This Row],[Calling Node]],Nodes!A:E,5,0)</f>
        <v>5</v>
      </c>
      <c r="H474">
        <f>VLOOKUP(Table1[[#This Row],[Called Node]],Nodes!A:D,4,0)</f>
        <v>25</v>
      </c>
      <c r="I474">
        <f>VLOOKUP(Table1[[#This Row],[Called Node]],Nodes!A:E,5,0)</f>
        <v>1</v>
      </c>
    </row>
    <row r="475" spans="1:9" x14ac:dyDescent="0.3">
      <c r="A475" t="s">
        <v>266</v>
      </c>
      <c r="B475" t="str">
        <f>VLOOKUP(Table1[[#This Row],[Calling Node]],Nodes!A:B,2,0)</f>
        <v>test_upload_nonstandard_usage_file</v>
      </c>
      <c r="C475" t="s">
        <v>217</v>
      </c>
      <c r="D475" t="str">
        <f>VLOOKUP(Table1[[#This Row],[Called Node]],Nodes!A:B,2,0)</f>
        <v>client</v>
      </c>
      <c r="E475" s="3" t="str">
        <f>Table1[[#This Row],[Calling Node]]&amp;" -&gt; "&amp;Table1[[#This Row],[Called Node]]</f>
        <v>test_upload_nonstandard_usage_file -&gt; client</v>
      </c>
      <c r="F475">
        <f>VLOOKUP(Table1[[#This Row],[Calling Node]],Nodes!A:D,4,0)</f>
        <v>27</v>
      </c>
      <c r="G475">
        <f>VLOOKUP(Table1[[#This Row],[Calling Node]],Nodes!A:E,5,0)</f>
        <v>5</v>
      </c>
      <c r="H475">
        <f>VLOOKUP(Table1[[#This Row],[Called Node]],Nodes!A:D,4,0)</f>
        <v>25</v>
      </c>
      <c r="I475">
        <f>VLOOKUP(Table1[[#This Row],[Called Node]],Nodes!A:E,5,0)</f>
        <v>3</v>
      </c>
    </row>
    <row r="476" spans="1:9" x14ac:dyDescent="0.3">
      <c r="A476" t="s">
        <v>266</v>
      </c>
      <c r="B476" t="str">
        <f>VLOOKUP(Table1[[#This Row],[Calling Node]],Nodes!A:B,2,0)</f>
        <v>test_upload_nonstandard_usage_file</v>
      </c>
      <c r="C476" t="s">
        <v>248</v>
      </c>
      <c r="D476" t="str">
        <f>VLOOKUP(Table1[[#This Row],[Called Node]],Nodes!A:B,2,0)</f>
        <v>path_to_sample_file</v>
      </c>
      <c r="E476" s="3" t="str">
        <f>Table1[[#This Row],[Calling Node]]&amp;" -&gt; "&amp;Table1[[#This Row],[Called Node]]</f>
        <v>test_upload_nonstandard_usage_file -&gt; path_to_sample_file</v>
      </c>
      <c r="F476">
        <f>VLOOKUP(Table1[[#This Row],[Calling Node]],Nodes!A:D,4,0)</f>
        <v>27</v>
      </c>
      <c r="G476">
        <f>VLOOKUP(Table1[[#This Row],[Calling Node]],Nodes!A:E,5,0)</f>
        <v>5</v>
      </c>
      <c r="H476">
        <f>VLOOKUP(Table1[[#This Row],[Called Node]],Nodes!A:D,4,0)</f>
        <v>25</v>
      </c>
      <c r="I476">
        <f>VLOOKUP(Table1[[#This Row],[Called Node]],Nodes!A:E,5,0)</f>
        <v>34</v>
      </c>
    </row>
    <row r="477" spans="1:9" x14ac:dyDescent="0.3">
      <c r="A477" t="s">
        <v>266</v>
      </c>
      <c r="B477" t="str">
        <f>VLOOKUP(Table1[[#This Row],[Calling Node]],Nodes!A:B,2,0)</f>
        <v>test_upload_nonstandard_usage_file</v>
      </c>
      <c r="C477" t="s">
        <v>250</v>
      </c>
      <c r="D477" t="str">
        <f>VLOOKUP(Table1[[#This Row],[Called Node]],Nodes!A:B,2,0)</f>
        <v>non_COUNTER_AUCT_object_before_upload</v>
      </c>
      <c r="E477" s="3" t="str">
        <f>Table1[[#This Row],[Calling Node]]&amp;" -&gt; "&amp;Table1[[#This Row],[Called Node]]</f>
        <v>test_upload_nonstandard_usage_file -&gt; non_COUNTER_AUCT_object_before_upload</v>
      </c>
      <c r="F477">
        <f>VLOOKUP(Table1[[#This Row],[Calling Node]],Nodes!A:D,4,0)</f>
        <v>27</v>
      </c>
      <c r="G477">
        <f>VLOOKUP(Table1[[#This Row],[Calling Node]],Nodes!A:E,5,0)</f>
        <v>5</v>
      </c>
      <c r="H477">
        <f>VLOOKUP(Table1[[#This Row],[Called Node]],Nodes!A:D,4,0)</f>
        <v>25</v>
      </c>
      <c r="I477">
        <f>VLOOKUP(Table1[[#This Row],[Called Node]],Nodes!A:E,5,0)</f>
        <v>36</v>
      </c>
    </row>
    <row r="478" spans="1:9" x14ac:dyDescent="0.3">
      <c r="A478" t="s">
        <v>266</v>
      </c>
      <c r="B478" t="str">
        <f>VLOOKUP(Table1[[#This Row],[Calling Node]],Nodes!A:B,2,0)</f>
        <v>test_upload_nonstandard_usage_file</v>
      </c>
      <c r="C478" t="s">
        <v>265</v>
      </c>
      <c r="D478" t="str">
        <f>VLOOKUP(Table1[[#This Row],[Called Node]],Nodes!A:B,2,0)</f>
        <v>sample_FileStorage_object</v>
      </c>
      <c r="E478" s="3" t="str">
        <f>Table1[[#This Row],[Calling Node]]&amp;" -&gt; "&amp;Table1[[#This Row],[Called Node]]</f>
        <v>test_upload_nonstandard_usage_file -&gt; sample_FileStorage_object</v>
      </c>
      <c r="F478">
        <f>VLOOKUP(Table1[[#This Row],[Calling Node]],Nodes!A:D,4,0)</f>
        <v>27</v>
      </c>
      <c r="G478">
        <f>VLOOKUP(Table1[[#This Row],[Calling Node]],Nodes!A:E,5,0)</f>
        <v>5</v>
      </c>
      <c r="H478">
        <f>VLOOKUP(Table1[[#This Row],[Called Node]],Nodes!A:D,4,0)</f>
        <v>27</v>
      </c>
      <c r="I478">
        <f>VLOOKUP(Table1[[#This Row],[Called Node]],Nodes!A:E,5,0)</f>
        <v>4</v>
      </c>
    </row>
    <row r="479" spans="1:9" x14ac:dyDescent="0.3">
      <c r="A479" t="s">
        <v>267</v>
      </c>
      <c r="B479" t="str">
        <f>VLOOKUP(Table1[[#This Row],[Calling Node]],Nodes!A:B,2,0)</f>
        <v>test_download_nonstandard_usage_file</v>
      </c>
      <c r="C479" t="s">
        <v>53</v>
      </c>
      <c r="D479" t="str">
        <f>VLOOKUP(Table1[[#This Row],[Called Node]],Nodes!A:B,2,0)</f>
        <v>download_nonstandard_usage_file</v>
      </c>
      <c r="E479" s="3" t="str">
        <f>Table1[[#This Row],[Calling Node]]&amp;" -&gt; "&amp;Table1[[#This Row],[Called Node]]</f>
        <v>test_download_nonstandard_usage_file -&gt; download_nonstandard_usage_file</v>
      </c>
      <c r="F479">
        <f>VLOOKUP(Table1[[#This Row],[Calling Node]],Nodes!A:D,4,0)</f>
        <v>27</v>
      </c>
      <c r="G479">
        <f>VLOOKUP(Table1[[#This Row],[Calling Node]],Nodes!A:E,5,0)</f>
        <v>6</v>
      </c>
      <c r="H479">
        <f>VLOOKUP(Table1[[#This Row],[Called Node]],Nodes!A:D,4,0)</f>
        <v>11</v>
      </c>
      <c r="I479">
        <f>VLOOKUP(Table1[[#This Row],[Called Node]],Nodes!A:E,5,0)</f>
        <v>4</v>
      </c>
    </row>
    <row r="480" spans="1:9" x14ac:dyDescent="0.3">
      <c r="A480" t="s">
        <v>267</v>
      </c>
      <c r="B480" t="str">
        <f>VLOOKUP(Table1[[#This Row],[Calling Node]],Nodes!A:B,2,0)</f>
        <v>test_download_nonstandard_usage_file</v>
      </c>
      <c r="C480" t="s">
        <v>144</v>
      </c>
      <c r="D480" t="str">
        <f>VLOOKUP(Table1[[#This Row],[Called Node]],Nodes!A:B,2,0)</f>
        <v>list_folder_contents_statement</v>
      </c>
      <c r="E480" s="3" t="str">
        <f>Table1[[#This Row],[Calling Node]]&amp;" -&gt; "&amp;Table1[[#This Row],[Called Node]]</f>
        <v>test_download_nonstandard_usage_file -&gt; list_folder_contents_statement</v>
      </c>
      <c r="F480">
        <f>VLOOKUP(Table1[[#This Row],[Calling Node]],Nodes!A:D,4,0)</f>
        <v>27</v>
      </c>
      <c r="G480">
        <f>VLOOKUP(Table1[[#This Row],[Calling Node]],Nodes!A:E,5,0)</f>
        <v>6</v>
      </c>
      <c r="H480">
        <f>VLOOKUP(Table1[[#This Row],[Called Node]],Nodes!A:D,4,0)</f>
        <v>23</v>
      </c>
      <c r="I480">
        <f>VLOOKUP(Table1[[#This Row],[Called Node]],Nodes!A:E,5,0)</f>
        <v>10</v>
      </c>
    </row>
    <row r="481" spans="1:9" x14ac:dyDescent="0.3">
      <c r="A481" t="s">
        <v>267</v>
      </c>
      <c r="B481" t="str">
        <f>VLOOKUP(Table1[[#This Row],[Calling Node]],Nodes!A:B,2,0)</f>
        <v>test_download_nonstandard_usage_file</v>
      </c>
      <c r="C481" t="s">
        <v>247</v>
      </c>
      <c r="D481" t="str">
        <f>VLOOKUP(Table1[[#This Row],[Called Node]],Nodes!A:B,2,0)</f>
        <v>download_destination</v>
      </c>
      <c r="E481" s="3" t="str">
        <f>Table1[[#This Row],[Calling Node]]&amp;" -&gt; "&amp;Table1[[#This Row],[Called Node]]</f>
        <v>test_download_nonstandard_usage_file -&gt; download_destination</v>
      </c>
      <c r="F481">
        <f>VLOOKUP(Table1[[#This Row],[Calling Node]],Nodes!A:D,4,0)</f>
        <v>27</v>
      </c>
      <c r="G481">
        <f>VLOOKUP(Table1[[#This Row],[Calling Node]],Nodes!A:E,5,0)</f>
        <v>6</v>
      </c>
      <c r="H481">
        <f>VLOOKUP(Table1[[#This Row],[Called Node]],Nodes!A:D,4,0)</f>
        <v>25</v>
      </c>
      <c r="I481">
        <f>VLOOKUP(Table1[[#This Row],[Called Node]],Nodes!A:E,5,0)</f>
        <v>33</v>
      </c>
    </row>
    <row r="482" spans="1:9" x14ac:dyDescent="0.3">
      <c r="A482" t="s">
        <v>267</v>
      </c>
      <c r="B482" t="str">
        <f>VLOOKUP(Table1[[#This Row],[Calling Node]],Nodes!A:B,2,0)</f>
        <v>test_download_nonstandard_usage_file</v>
      </c>
      <c r="C482" t="s">
        <v>251</v>
      </c>
      <c r="D482" t="str">
        <f>VLOOKUP(Table1[[#This Row],[Called Node]],Nodes!A:B,2,0)</f>
        <v>non_COUNTER_AUCT_object_after_upload</v>
      </c>
      <c r="E482" s="3" t="str">
        <f>Table1[[#This Row],[Calling Node]]&amp;" -&gt; "&amp;Table1[[#This Row],[Called Node]]</f>
        <v>test_download_nonstandard_usage_file -&gt; non_COUNTER_AUCT_object_after_upload</v>
      </c>
      <c r="F482">
        <f>VLOOKUP(Table1[[#This Row],[Calling Node]],Nodes!A:D,4,0)</f>
        <v>27</v>
      </c>
      <c r="G482">
        <f>VLOOKUP(Table1[[#This Row],[Calling Node]],Nodes!A:E,5,0)</f>
        <v>6</v>
      </c>
      <c r="H482">
        <f>VLOOKUP(Table1[[#This Row],[Called Node]],Nodes!A:D,4,0)</f>
        <v>25</v>
      </c>
      <c r="I482">
        <f>VLOOKUP(Table1[[#This Row],[Called Node]],Nodes!A:E,5,0)</f>
        <v>37</v>
      </c>
    </row>
    <row r="483" spans="1:9" x14ac:dyDescent="0.3">
      <c r="A483" t="s">
        <v>267</v>
      </c>
      <c r="B483" t="str">
        <f>VLOOKUP(Table1[[#This Row],[Calling Node]],Nodes!A:B,2,0)</f>
        <v>test_download_nonstandard_usage_file</v>
      </c>
      <c r="C483" t="s">
        <v>252</v>
      </c>
      <c r="D483" t="str">
        <f>VLOOKUP(Table1[[#This Row],[Called Node]],Nodes!A:B,2,0)</f>
        <v>non_COUNTER_file_to_download_from_S3</v>
      </c>
      <c r="E483" s="3" t="str">
        <f>Table1[[#This Row],[Calling Node]]&amp;" -&gt; "&amp;Table1[[#This Row],[Called Node]]</f>
        <v>test_download_nonstandard_usage_file -&gt; non_COUNTER_file_to_download_from_S3</v>
      </c>
      <c r="F483">
        <f>VLOOKUP(Table1[[#This Row],[Calling Node]],Nodes!A:D,4,0)</f>
        <v>27</v>
      </c>
      <c r="G483">
        <f>VLOOKUP(Table1[[#This Row],[Calling Node]],Nodes!A:E,5,0)</f>
        <v>6</v>
      </c>
      <c r="H483">
        <f>VLOOKUP(Table1[[#This Row],[Called Node]],Nodes!A:D,4,0)</f>
        <v>25</v>
      </c>
      <c r="I483">
        <f>VLOOKUP(Table1[[#This Row],[Called Node]],Nodes!A:E,5,0)</f>
        <v>38</v>
      </c>
    </row>
    <row r="484" spans="1:9" x14ac:dyDescent="0.3">
      <c r="A484" t="s">
        <v>269</v>
      </c>
      <c r="B484" t="str">
        <f>VLOOKUP(Table1[[#This Row],[Calling Node]],Nodes!A:B,2,0)</f>
        <v>test_flask_app_creation</v>
      </c>
      <c r="C484" t="s">
        <v>216</v>
      </c>
      <c r="D484" t="str">
        <f>VLOOKUP(Table1[[#This Row],[Called Node]],Nodes!A:B,2,0)</f>
        <v>app</v>
      </c>
      <c r="E484" s="3" t="str">
        <f>Table1[[#This Row],[Calling Node]]&amp;" -&gt; "&amp;Table1[[#This Row],[Called Node]]</f>
        <v>test_flask_app_creation -&gt; app</v>
      </c>
      <c r="F484">
        <f>VLOOKUP(Table1[[#This Row],[Calling Node]],Nodes!A:D,4,0)</f>
        <v>28</v>
      </c>
      <c r="G484">
        <f>VLOOKUP(Table1[[#This Row],[Calling Node]],Nodes!A:E,5,0)</f>
        <v>1</v>
      </c>
      <c r="H484">
        <f>VLOOKUP(Table1[[#This Row],[Called Node]],Nodes!A:D,4,0)</f>
        <v>25</v>
      </c>
      <c r="I484">
        <f>VLOOKUP(Table1[[#This Row],[Called Node]],Nodes!A:E,5,0)</f>
        <v>2</v>
      </c>
    </row>
    <row r="485" spans="1:9" x14ac:dyDescent="0.3">
      <c r="A485" t="s">
        <v>270</v>
      </c>
      <c r="B485" t="str">
        <f>VLOOKUP(Table1[[#This Row],[Calling Node]],Nodes!A:B,2,0)</f>
        <v>test_flask_client_creation</v>
      </c>
      <c r="C485" t="s">
        <v>217</v>
      </c>
      <c r="D485" t="str">
        <f>VLOOKUP(Table1[[#This Row],[Called Node]],Nodes!A:B,2,0)</f>
        <v>client</v>
      </c>
      <c r="E485" s="3" t="str">
        <f>Table1[[#This Row],[Calling Node]]&amp;" -&gt; "&amp;Table1[[#This Row],[Called Node]]</f>
        <v>test_flask_client_creation -&gt; client</v>
      </c>
      <c r="F485">
        <f>VLOOKUP(Table1[[#This Row],[Calling Node]],Nodes!A:D,4,0)</f>
        <v>28</v>
      </c>
      <c r="G485">
        <f>VLOOKUP(Table1[[#This Row],[Calling Node]],Nodes!A:E,5,0)</f>
        <v>2</v>
      </c>
      <c r="H485">
        <f>VLOOKUP(Table1[[#This Row],[Called Node]],Nodes!A:D,4,0)</f>
        <v>25</v>
      </c>
      <c r="I485">
        <f>VLOOKUP(Table1[[#This Row],[Called Node]],Nodes!A:E,5,0)</f>
        <v>3</v>
      </c>
    </row>
    <row r="486" spans="1:9" x14ac:dyDescent="0.3">
      <c r="A486" t="s">
        <v>271</v>
      </c>
      <c r="B486" t="str">
        <f>VLOOKUP(Table1[[#This Row],[Calling Node]],Nodes!A:B,2,0)</f>
        <v>test_SQLAlchemy_engine_creation</v>
      </c>
      <c r="C486" t="s">
        <v>215</v>
      </c>
      <c r="D486" t="str">
        <f>VLOOKUP(Table1[[#This Row],[Called Node]],Nodes!A:B,2,0)</f>
        <v>engine</v>
      </c>
      <c r="E486" s="3" t="str">
        <f>Table1[[#This Row],[Calling Node]]&amp;" -&gt; "&amp;Table1[[#This Row],[Called Node]]</f>
        <v>test_SQLAlchemy_engine_creation -&gt; engine</v>
      </c>
      <c r="F486">
        <f>VLOOKUP(Table1[[#This Row],[Calling Node]],Nodes!A:D,4,0)</f>
        <v>28</v>
      </c>
      <c r="G486">
        <f>VLOOKUP(Table1[[#This Row],[Calling Node]],Nodes!A:E,5,0)</f>
        <v>3</v>
      </c>
      <c r="H486">
        <f>VLOOKUP(Table1[[#This Row],[Called Node]],Nodes!A:D,4,0)</f>
        <v>25</v>
      </c>
      <c r="I486">
        <f>VLOOKUP(Table1[[#This Row],[Called Node]],Nodes!A:E,5,0)</f>
        <v>1</v>
      </c>
    </row>
    <row r="487" spans="1:9" x14ac:dyDescent="0.3">
      <c r="A487" t="s">
        <v>272</v>
      </c>
      <c r="B487" t="str">
        <f>VLOOKUP(Table1[[#This Row],[Calling Node]],Nodes!A:B,2,0)</f>
        <v>test_homepage</v>
      </c>
      <c r="C487" t="s">
        <v>113</v>
      </c>
      <c r="D487" t="str">
        <f>VLOOKUP(Table1[[#This Row],[Called Node]],Nodes!A:B,2,0)</f>
        <v>"create_app.homepage"</v>
      </c>
      <c r="E487" s="3" t="str">
        <f>Table1[[#This Row],[Calling Node]]&amp;" -&gt; "&amp;Table1[[#This Row],[Called Node]]</f>
        <v>test_homepage -&gt; "create_app.homepage"</v>
      </c>
      <c r="F487">
        <f>VLOOKUP(Table1[[#This Row],[Calling Node]],Nodes!A:D,4,0)</f>
        <v>28</v>
      </c>
      <c r="G487">
        <f>VLOOKUP(Table1[[#This Row],[Calling Node]],Nodes!A:E,5,0)</f>
        <v>4</v>
      </c>
      <c r="H487">
        <f>VLOOKUP(Table1[[#This Row],[Called Node]],Nodes!A:D,4,0)</f>
        <v>22</v>
      </c>
      <c r="I487">
        <f>VLOOKUP(Table1[[#This Row],[Called Node]],Nodes!A:E,5,0)</f>
        <v>7</v>
      </c>
    </row>
    <row r="488" spans="1:9" x14ac:dyDescent="0.3">
      <c r="A488" t="s">
        <v>272</v>
      </c>
      <c r="B488" t="str">
        <f>VLOOKUP(Table1[[#This Row],[Calling Node]],Nodes!A:B,2,0)</f>
        <v>test_homepage</v>
      </c>
      <c r="C488" t="s">
        <v>217</v>
      </c>
      <c r="D488" t="str">
        <f>VLOOKUP(Table1[[#This Row],[Called Node]],Nodes!A:B,2,0)</f>
        <v>client</v>
      </c>
      <c r="E488" s="3" t="str">
        <f>Table1[[#This Row],[Calling Node]]&amp;" -&gt; "&amp;Table1[[#This Row],[Called Node]]</f>
        <v>test_homepage -&gt; client</v>
      </c>
      <c r="F488">
        <f>VLOOKUP(Table1[[#This Row],[Calling Node]],Nodes!A:D,4,0)</f>
        <v>28</v>
      </c>
      <c r="G488">
        <f>VLOOKUP(Table1[[#This Row],[Calling Node]],Nodes!A:E,5,0)</f>
        <v>4</v>
      </c>
      <c r="H488">
        <f>VLOOKUP(Table1[[#This Row],[Called Node]],Nodes!A:D,4,0)</f>
        <v>25</v>
      </c>
      <c r="I488">
        <f>VLOOKUP(Table1[[#This Row],[Called Node]],Nodes!A:E,5,0)</f>
        <v>3</v>
      </c>
    </row>
    <row r="489" spans="1:9" x14ac:dyDescent="0.3">
      <c r="A489" t="s">
        <v>273</v>
      </c>
      <c r="B489" t="str">
        <f>VLOOKUP(Table1[[#This Row],[Calling Node]],Nodes!A:B,2,0)</f>
        <v>test_404_page</v>
      </c>
      <c r="C489" t="s">
        <v>217</v>
      </c>
      <c r="D489" t="str">
        <f>VLOOKUP(Table1[[#This Row],[Called Node]],Nodes!A:B,2,0)</f>
        <v>client</v>
      </c>
      <c r="E489" s="3" t="str">
        <f>Table1[[#This Row],[Calling Node]]&amp;" -&gt; "&amp;Table1[[#This Row],[Called Node]]</f>
        <v>test_404_page -&gt; client</v>
      </c>
      <c r="F489">
        <f>VLOOKUP(Table1[[#This Row],[Calling Node]],Nodes!A:D,4,0)</f>
        <v>28</v>
      </c>
      <c r="G489">
        <f>VLOOKUP(Table1[[#This Row],[Calling Node]],Nodes!A:E,5,0)</f>
        <v>5</v>
      </c>
      <c r="H489">
        <f>VLOOKUP(Table1[[#This Row],[Called Node]],Nodes!A:D,4,0)</f>
        <v>25</v>
      </c>
      <c r="I489">
        <f>VLOOKUP(Table1[[#This Row],[Called Node]],Nodes!A:E,5,0)</f>
        <v>3</v>
      </c>
    </row>
    <row r="490" spans="1:9" x14ac:dyDescent="0.3">
      <c r="A490" t="s">
        <v>274</v>
      </c>
      <c r="B490" t="str">
        <f>VLOOKUP(Table1[[#This Row],[Calling Node]],Nodes!A:B,2,0)</f>
        <v>test_load_data_into_database</v>
      </c>
      <c r="C490" t="s">
        <v>122</v>
      </c>
      <c r="D490" t="str">
        <f>VLOOKUP(Table1[[#This Row],[Called Node]],Nodes!A:B,2,0)</f>
        <v>load_data_into_database</v>
      </c>
      <c r="E490" s="3" t="str">
        <f>Table1[[#This Row],[Calling Node]]&amp;" -&gt; "&amp;Table1[[#This Row],[Called Node]]</f>
        <v>test_load_data_into_database -&gt; load_data_into_database</v>
      </c>
      <c r="F490">
        <f>VLOOKUP(Table1[[#This Row],[Calling Node]],Nodes!A:D,4,0)</f>
        <v>28</v>
      </c>
      <c r="G490">
        <f>VLOOKUP(Table1[[#This Row],[Calling Node]],Nodes!A:E,5,0)</f>
        <v>6</v>
      </c>
      <c r="H490">
        <f>VLOOKUP(Table1[[#This Row],[Called Node]],Nodes!A:D,4,0)</f>
        <v>22</v>
      </c>
      <c r="I490">
        <f>VLOOKUP(Table1[[#This Row],[Called Node]],Nodes!A:E,5,0)</f>
        <v>16</v>
      </c>
    </row>
    <row r="491" spans="1:9" x14ac:dyDescent="0.3">
      <c r="A491" t="s">
        <v>274</v>
      </c>
      <c r="B491" t="str">
        <f>VLOOKUP(Table1[[#This Row],[Calling Node]],Nodes!A:B,2,0)</f>
        <v>test_load_data_into_database</v>
      </c>
      <c r="C491" t="s">
        <v>156</v>
      </c>
      <c r="D491" t="str">
        <f>VLOOKUP(Table1[[#This Row],[Called Node]],Nodes!A:B,2,0)</f>
        <v>load_data_into_database_success_regex</v>
      </c>
      <c r="E491" s="3" t="str">
        <f>Table1[[#This Row],[Calling Node]]&amp;" -&gt; "&amp;Table1[[#This Row],[Called Node]]</f>
        <v>test_load_data_into_database -&gt; load_data_into_database_success_regex</v>
      </c>
      <c r="F491">
        <f>VLOOKUP(Table1[[#This Row],[Calling Node]],Nodes!A:D,4,0)</f>
        <v>28</v>
      </c>
      <c r="G491">
        <f>VLOOKUP(Table1[[#This Row],[Calling Node]],Nodes!A:E,5,0)</f>
        <v>6</v>
      </c>
      <c r="H491">
        <f>VLOOKUP(Table1[[#This Row],[Called Node]],Nodes!A:D,4,0)</f>
        <v>23</v>
      </c>
      <c r="I491">
        <f>VLOOKUP(Table1[[#This Row],[Called Node]],Nodes!A:E,5,0)</f>
        <v>22</v>
      </c>
    </row>
    <row r="492" spans="1:9" x14ac:dyDescent="0.3">
      <c r="A492" t="s">
        <v>274</v>
      </c>
      <c r="B492" t="str">
        <f>VLOOKUP(Table1[[#This Row],[Calling Node]],Nodes!A:B,2,0)</f>
        <v>test_load_data_into_database</v>
      </c>
      <c r="C492" t="s">
        <v>215</v>
      </c>
      <c r="D492" t="str">
        <f>VLOOKUP(Table1[[#This Row],[Called Node]],Nodes!A:B,2,0)</f>
        <v>engine</v>
      </c>
      <c r="E492" s="3" t="str">
        <f>Table1[[#This Row],[Calling Node]]&amp;" -&gt; "&amp;Table1[[#This Row],[Called Node]]</f>
        <v>test_load_data_into_database -&gt; engine</v>
      </c>
      <c r="F492">
        <f>VLOOKUP(Table1[[#This Row],[Calling Node]],Nodes!A:D,4,0)</f>
        <v>28</v>
      </c>
      <c r="G492">
        <f>VLOOKUP(Table1[[#This Row],[Calling Node]],Nodes!A:E,5,0)</f>
        <v>6</v>
      </c>
      <c r="H492">
        <f>VLOOKUP(Table1[[#This Row],[Called Node]],Nodes!A:D,4,0)</f>
        <v>25</v>
      </c>
      <c r="I492">
        <f>VLOOKUP(Table1[[#This Row],[Called Node]],Nodes!A:E,5,0)</f>
        <v>1</v>
      </c>
    </row>
    <row r="493" spans="1:9" x14ac:dyDescent="0.3">
      <c r="A493" t="s">
        <v>274</v>
      </c>
      <c r="B493" t="str">
        <f>VLOOKUP(Table1[[#This Row],[Calling Node]],Nodes!A:B,2,0)</f>
        <v>test_load_data_into_database</v>
      </c>
      <c r="C493" t="s">
        <v>222</v>
      </c>
      <c r="D493" s="2" t="str">
        <f>VLOOKUP(Table1[[#This Row],[Called Node]],Nodes!A:B,2,0)</f>
        <v>vendors_relation</v>
      </c>
      <c r="E493" s="3" t="str">
        <f>Table1[[#This Row],[Calling Node]]&amp;" -&gt; "&amp;Table1[[#This Row],[Called Node]]</f>
        <v>test_load_data_into_database -&gt; vendors_relation_in_conftest</v>
      </c>
      <c r="F493">
        <f>VLOOKUP(Table1[[#This Row],[Calling Node]],Nodes!A:D,4,0)</f>
        <v>28</v>
      </c>
      <c r="G493">
        <f>VLOOKUP(Table1[[#This Row],[Calling Node]],Nodes!A:E,5,0)</f>
        <v>6</v>
      </c>
      <c r="H493">
        <f>VLOOKUP(Table1[[#This Row],[Called Node]],Nodes!A:D,4,0)</f>
        <v>25</v>
      </c>
      <c r="I493">
        <f>VLOOKUP(Table1[[#This Row],[Called Node]],Nodes!A:E,5,0)</f>
        <v>8</v>
      </c>
    </row>
    <row r="494" spans="1:9" x14ac:dyDescent="0.3">
      <c r="A494" t="s">
        <v>275</v>
      </c>
      <c r="B494" t="str">
        <f>VLOOKUP(Table1[[#This Row],[Calling Node]],Nodes!A:B,2,0)</f>
        <v>test_query_database</v>
      </c>
      <c r="C494" t="s">
        <v>23</v>
      </c>
      <c r="D494" s="2" t="str">
        <f>VLOOKUP(Table1[[#This Row],[Called Node]],Nodes!A:B,2,0)</f>
        <v>state_data_types</v>
      </c>
      <c r="E494" s="3" t="str">
        <f>Table1[[#This Row],[Calling Node]]&amp;" -&gt; "&amp;Table1[[#This Row],[Called Node]]</f>
        <v>test_query_database -&gt; state_data_types_in_vendors</v>
      </c>
      <c r="F494">
        <f>VLOOKUP(Table1[[#This Row],[Calling Node]],Nodes!A:D,4,0)</f>
        <v>28</v>
      </c>
      <c r="G494">
        <f>VLOOKUP(Table1[[#This Row],[Calling Node]],Nodes!A:E,5,0)</f>
        <v>7</v>
      </c>
      <c r="H494">
        <f>VLOOKUP(Table1[[#This Row],[Called Node]],Nodes!A:D,4,0)</f>
        <v>4</v>
      </c>
      <c r="I494">
        <f>VLOOKUP(Table1[[#This Row],[Called Node]],Nodes!A:E,5,0)</f>
        <v>1</v>
      </c>
    </row>
    <row r="495" spans="1:9" x14ac:dyDescent="0.3">
      <c r="A495" t="s">
        <v>275</v>
      </c>
      <c r="B495" t="str">
        <f>VLOOKUP(Table1[[#This Row],[Calling Node]],Nodes!A:B,2,0)</f>
        <v>test_query_database</v>
      </c>
      <c r="C495" t="s">
        <v>123</v>
      </c>
      <c r="D495" t="str">
        <f>VLOOKUP(Table1[[#This Row],[Called Node]],Nodes!A:B,2,0)</f>
        <v>query_database</v>
      </c>
      <c r="E495" s="3" t="str">
        <f>Table1[[#This Row],[Calling Node]]&amp;" -&gt; "&amp;Table1[[#This Row],[Called Node]]</f>
        <v>test_query_database -&gt; query_database</v>
      </c>
      <c r="F495">
        <f>VLOOKUP(Table1[[#This Row],[Calling Node]],Nodes!A:D,4,0)</f>
        <v>28</v>
      </c>
      <c r="G495">
        <f>VLOOKUP(Table1[[#This Row],[Calling Node]],Nodes!A:E,5,0)</f>
        <v>7</v>
      </c>
      <c r="H495">
        <f>VLOOKUP(Table1[[#This Row],[Called Node]],Nodes!A:D,4,0)</f>
        <v>22</v>
      </c>
      <c r="I495">
        <f>VLOOKUP(Table1[[#This Row],[Called Node]],Nodes!A:E,5,0)</f>
        <v>17</v>
      </c>
    </row>
    <row r="496" spans="1:9" x14ac:dyDescent="0.3">
      <c r="A496" t="s">
        <v>275</v>
      </c>
      <c r="B496" t="str">
        <f>VLOOKUP(Table1[[#This Row],[Calling Node]],Nodes!A:B,2,0)</f>
        <v>test_query_database</v>
      </c>
      <c r="C496" t="s">
        <v>215</v>
      </c>
      <c r="D496" t="str">
        <f>VLOOKUP(Table1[[#This Row],[Called Node]],Nodes!A:B,2,0)</f>
        <v>engine</v>
      </c>
      <c r="E496" s="3" t="str">
        <f>Table1[[#This Row],[Calling Node]]&amp;" -&gt; "&amp;Table1[[#This Row],[Called Node]]</f>
        <v>test_query_database -&gt; engine</v>
      </c>
      <c r="F496">
        <f>VLOOKUP(Table1[[#This Row],[Calling Node]],Nodes!A:D,4,0)</f>
        <v>28</v>
      </c>
      <c r="G496">
        <f>VLOOKUP(Table1[[#This Row],[Calling Node]],Nodes!A:E,5,0)</f>
        <v>7</v>
      </c>
      <c r="H496">
        <f>VLOOKUP(Table1[[#This Row],[Called Node]],Nodes!A:D,4,0)</f>
        <v>25</v>
      </c>
      <c r="I496">
        <f>VLOOKUP(Table1[[#This Row],[Called Node]],Nodes!A:E,5,0)</f>
        <v>1</v>
      </c>
    </row>
    <row r="497" spans="1:9" x14ac:dyDescent="0.3">
      <c r="A497" t="s">
        <v>275</v>
      </c>
      <c r="B497" t="str">
        <f>VLOOKUP(Table1[[#This Row],[Calling Node]],Nodes!A:B,2,0)</f>
        <v>test_query_database</v>
      </c>
      <c r="C497" t="s">
        <v>222</v>
      </c>
      <c r="D497" s="2" t="str">
        <f>VLOOKUP(Table1[[#This Row],[Called Node]],Nodes!A:B,2,0)</f>
        <v>vendors_relation</v>
      </c>
      <c r="E497" s="3" t="str">
        <f>Table1[[#This Row],[Calling Node]]&amp;" -&gt; "&amp;Table1[[#This Row],[Called Node]]</f>
        <v>test_query_database -&gt; vendors_relation_in_conftest</v>
      </c>
      <c r="F497">
        <f>VLOOKUP(Table1[[#This Row],[Calling Node]],Nodes!A:D,4,0)</f>
        <v>28</v>
      </c>
      <c r="G497">
        <f>VLOOKUP(Table1[[#This Row],[Calling Node]],Nodes!A:E,5,0)</f>
        <v>7</v>
      </c>
      <c r="H497">
        <f>VLOOKUP(Table1[[#This Row],[Called Node]],Nodes!A:D,4,0)</f>
        <v>25</v>
      </c>
      <c r="I497">
        <f>VLOOKUP(Table1[[#This Row],[Called Node]],Nodes!A:E,5,0)</f>
        <v>8</v>
      </c>
    </row>
    <row r="498" spans="1:9" x14ac:dyDescent="0.3">
      <c r="A498" t="s">
        <v>276</v>
      </c>
      <c r="B498" t="str">
        <f>VLOOKUP(Table1[[#This Row],[Calling Node]],Nodes!A:B,2,0)</f>
        <v>test_loading_connected_data_into_other_relation</v>
      </c>
      <c r="C498" t="s">
        <v>23</v>
      </c>
      <c r="D498" s="2" t="str">
        <f>VLOOKUP(Table1[[#This Row],[Called Node]],Nodes!A:B,2,0)</f>
        <v>state_data_types</v>
      </c>
      <c r="E498" s="3" t="str">
        <f>Table1[[#This Row],[Calling Node]]&amp;" -&gt; "&amp;Table1[[#This Row],[Called Node]]</f>
        <v>test_loading_connected_data_into_other_relation -&gt; state_data_types_in_vendors</v>
      </c>
      <c r="F498">
        <f>VLOOKUP(Table1[[#This Row],[Calling Node]],Nodes!A:D,4,0)</f>
        <v>28</v>
      </c>
      <c r="G498">
        <f>VLOOKUP(Table1[[#This Row],[Calling Node]],Nodes!A:E,5,0)</f>
        <v>8</v>
      </c>
      <c r="H498">
        <f>VLOOKUP(Table1[[#This Row],[Called Node]],Nodes!A:D,4,0)</f>
        <v>4</v>
      </c>
      <c r="I498">
        <f>VLOOKUP(Table1[[#This Row],[Called Node]],Nodes!A:E,5,0)</f>
        <v>1</v>
      </c>
    </row>
    <row r="499" spans="1:9" x14ac:dyDescent="0.3">
      <c r="A499" t="s">
        <v>276</v>
      </c>
      <c r="B499" t="str">
        <f>VLOOKUP(Table1[[#This Row],[Calling Node]],Nodes!A:B,2,0)</f>
        <v>test_loading_connected_data_into_other_relation</v>
      </c>
      <c r="C499" t="s">
        <v>31</v>
      </c>
      <c r="D499" s="2" t="str">
        <f>VLOOKUP(Table1[[#This Row],[Called Node]],Nodes!A:B,2,0)</f>
        <v>state_data_types</v>
      </c>
      <c r="E499" s="3" t="str">
        <f>Table1[[#This Row],[Calling Node]]&amp;" -&gt; "&amp;Table1[[#This Row],[Called Node]]</f>
        <v>test_loading_connected_data_into_other_relation -&gt; state_data_types_in_statisticsSources</v>
      </c>
      <c r="F499">
        <f>VLOOKUP(Table1[[#This Row],[Calling Node]],Nodes!A:D,4,0)</f>
        <v>28</v>
      </c>
      <c r="G499">
        <f>VLOOKUP(Table1[[#This Row],[Calling Node]],Nodes!A:E,5,0)</f>
        <v>8</v>
      </c>
      <c r="H499">
        <f>VLOOKUP(Table1[[#This Row],[Called Node]],Nodes!A:D,4,0)</f>
        <v>6</v>
      </c>
      <c r="I499">
        <f>VLOOKUP(Table1[[#This Row],[Called Node]],Nodes!A:E,5,0)</f>
        <v>1</v>
      </c>
    </row>
    <row r="500" spans="1:9" x14ac:dyDescent="0.3">
      <c r="A500" t="s">
        <v>276</v>
      </c>
      <c r="B500" t="str">
        <f>VLOOKUP(Table1[[#This Row],[Calling Node]],Nodes!A:B,2,0)</f>
        <v>test_loading_connected_data_into_other_relation</v>
      </c>
      <c r="C500" t="s">
        <v>122</v>
      </c>
      <c r="D500" t="str">
        <f>VLOOKUP(Table1[[#This Row],[Called Node]],Nodes!A:B,2,0)</f>
        <v>load_data_into_database</v>
      </c>
      <c r="E500" s="3" t="str">
        <f>Table1[[#This Row],[Calling Node]]&amp;" -&gt; "&amp;Table1[[#This Row],[Called Node]]</f>
        <v>test_loading_connected_data_into_other_relation -&gt; load_data_into_database</v>
      </c>
      <c r="F500">
        <f>VLOOKUP(Table1[[#This Row],[Calling Node]],Nodes!A:D,4,0)</f>
        <v>28</v>
      </c>
      <c r="G500">
        <f>VLOOKUP(Table1[[#This Row],[Calling Node]],Nodes!A:E,5,0)</f>
        <v>8</v>
      </c>
      <c r="H500">
        <f>VLOOKUP(Table1[[#This Row],[Called Node]],Nodes!A:D,4,0)</f>
        <v>22</v>
      </c>
      <c r="I500">
        <f>VLOOKUP(Table1[[#This Row],[Called Node]],Nodes!A:E,5,0)</f>
        <v>16</v>
      </c>
    </row>
    <row r="501" spans="1:9" x14ac:dyDescent="0.3">
      <c r="A501" t="s">
        <v>276</v>
      </c>
      <c r="B501" t="str">
        <f>VLOOKUP(Table1[[#This Row],[Calling Node]],Nodes!A:B,2,0)</f>
        <v>test_loading_connected_data_into_other_relation</v>
      </c>
      <c r="C501" t="s">
        <v>123</v>
      </c>
      <c r="D501" t="str">
        <f>VLOOKUP(Table1[[#This Row],[Called Node]],Nodes!A:B,2,0)</f>
        <v>query_database</v>
      </c>
      <c r="E501" s="3" t="str">
        <f>Table1[[#This Row],[Calling Node]]&amp;" -&gt; "&amp;Table1[[#This Row],[Called Node]]</f>
        <v>test_loading_connected_data_into_other_relation -&gt; query_database</v>
      </c>
      <c r="F501">
        <f>VLOOKUP(Table1[[#This Row],[Calling Node]],Nodes!A:D,4,0)</f>
        <v>28</v>
      </c>
      <c r="G501">
        <f>VLOOKUP(Table1[[#This Row],[Calling Node]],Nodes!A:E,5,0)</f>
        <v>8</v>
      </c>
      <c r="H501">
        <f>VLOOKUP(Table1[[#This Row],[Called Node]],Nodes!A:D,4,0)</f>
        <v>22</v>
      </c>
      <c r="I501">
        <f>VLOOKUP(Table1[[#This Row],[Called Node]],Nodes!A:E,5,0)</f>
        <v>17</v>
      </c>
    </row>
    <row r="502" spans="1:9" x14ac:dyDescent="0.3">
      <c r="A502" t="s">
        <v>276</v>
      </c>
      <c r="B502" t="str">
        <f>VLOOKUP(Table1[[#This Row],[Calling Node]],Nodes!A:B,2,0)</f>
        <v>test_loading_connected_data_into_other_relation</v>
      </c>
      <c r="C502" t="s">
        <v>155</v>
      </c>
      <c r="D502" t="str">
        <f>VLOOKUP(Table1[[#This Row],[Called Node]],Nodes!A:B,2,0)</f>
        <v>database_function_skip_statements</v>
      </c>
      <c r="E502" s="3" t="str">
        <f>Table1[[#This Row],[Calling Node]]&amp;" -&gt; "&amp;Table1[[#This Row],[Called Node]]</f>
        <v>test_loading_connected_data_into_other_relation -&gt; database_function_skip_statements</v>
      </c>
      <c r="F502">
        <f>VLOOKUP(Table1[[#This Row],[Calling Node]],Nodes!A:D,4,0)</f>
        <v>28</v>
      </c>
      <c r="G502">
        <f>VLOOKUP(Table1[[#This Row],[Calling Node]],Nodes!A:E,5,0)</f>
        <v>8</v>
      </c>
      <c r="H502">
        <f>VLOOKUP(Table1[[#This Row],[Called Node]],Nodes!A:D,4,0)</f>
        <v>23</v>
      </c>
      <c r="I502">
        <f>VLOOKUP(Table1[[#This Row],[Called Node]],Nodes!A:E,5,0)</f>
        <v>21</v>
      </c>
    </row>
    <row r="503" spans="1:9" x14ac:dyDescent="0.3">
      <c r="A503" t="s">
        <v>276</v>
      </c>
      <c r="B503" t="str">
        <f>VLOOKUP(Table1[[#This Row],[Calling Node]],Nodes!A:B,2,0)</f>
        <v>test_loading_connected_data_into_other_relation</v>
      </c>
      <c r="C503" t="s">
        <v>156</v>
      </c>
      <c r="D503" t="str">
        <f>VLOOKUP(Table1[[#This Row],[Called Node]],Nodes!A:B,2,0)</f>
        <v>load_data_into_database_success_regex</v>
      </c>
      <c r="E503" s="3" t="str">
        <f>Table1[[#This Row],[Calling Node]]&amp;" -&gt; "&amp;Table1[[#This Row],[Called Node]]</f>
        <v>test_loading_connected_data_into_other_relation -&gt; load_data_into_database_success_regex</v>
      </c>
      <c r="F503">
        <f>VLOOKUP(Table1[[#This Row],[Calling Node]],Nodes!A:D,4,0)</f>
        <v>28</v>
      </c>
      <c r="G503">
        <f>VLOOKUP(Table1[[#This Row],[Calling Node]],Nodes!A:E,5,0)</f>
        <v>8</v>
      </c>
      <c r="H503">
        <f>VLOOKUP(Table1[[#This Row],[Called Node]],Nodes!A:D,4,0)</f>
        <v>23</v>
      </c>
      <c r="I503">
        <f>VLOOKUP(Table1[[#This Row],[Called Node]],Nodes!A:E,5,0)</f>
        <v>22</v>
      </c>
    </row>
    <row r="504" spans="1:9" x14ac:dyDescent="0.3">
      <c r="A504" t="s">
        <v>276</v>
      </c>
      <c r="B504" t="str">
        <f>VLOOKUP(Table1[[#This Row],[Calling Node]],Nodes!A:B,2,0)</f>
        <v>test_loading_connected_data_into_other_relation</v>
      </c>
      <c r="C504" t="s">
        <v>215</v>
      </c>
      <c r="D504" t="str">
        <f>VLOOKUP(Table1[[#This Row],[Called Node]],Nodes!A:B,2,0)</f>
        <v>engine</v>
      </c>
      <c r="E504" s="3" t="str">
        <f>Table1[[#This Row],[Calling Node]]&amp;" -&gt; "&amp;Table1[[#This Row],[Called Node]]</f>
        <v>test_loading_connected_data_into_other_relation -&gt; engine</v>
      </c>
      <c r="F504">
        <f>VLOOKUP(Table1[[#This Row],[Calling Node]],Nodes!A:D,4,0)</f>
        <v>28</v>
      </c>
      <c r="G504">
        <f>VLOOKUP(Table1[[#This Row],[Calling Node]],Nodes!A:E,5,0)</f>
        <v>8</v>
      </c>
      <c r="H504">
        <f>VLOOKUP(Table1[[#This Row],[Called Node]],Nodes!A:D,4,0)</f>
        <v>25</v>
      </c>
      <c r="I504">
        <f>VLOOKUP(Table1[[#This Row],[Called Node]],Nodes!A:E,5,0)</f>
        <v>1</v>
      </c>
    </row>
    <row r="505" spans="1:9" x14ac:dyDescent="0.3">
      <c r="A505" t="s">
        <v>276</v>
      </c>
      <c r="B505" t="str">
        <f>VLOOKUP(Table1[[#This Row],[Calling Node]],Nodes!A:B,2,0)</f>
        <v>test_loading_connected_data_into_other_relation</v>
      </c>
      <c r="C505" t="s">
        <v>224</v>
      </c>
      <c r="D505" s="2" t="str">
        <f>VLOOKUP(Table1[[#This Row],[Called Node]],Nodes!A:B,2,0)</f>
        <v>statisticsSources_relation</v>
      </c>
      <c r="E505" s="3" t="str">
        <f>Table1[[#This Row],[Calling Node]]&amp;" -&gt; "&amp;Table1[[#This Row],[Called Node]]</f>
        <v>test_loading_connected_data_into_other_relation -&gt; statisticsSources_relation_in_conftest</v>
      </c>
      <c r="F505">
        <f>VLOOKUP(Table1[[#This Row],[Calling Node]],Nodes!A:D,4,0)</f>
        <v>28</v>
      </c>
      <c r="G505">
        <f>VLOOKUP(Table1[[#This Row],[Calling Node]],Nodes!A:E,5,0)</f>
        <v>8</v>
      </c>
      <c r="H505">
        <f>VLOOKUP(Table1[[#This Row],[Called Node]],Nodes!A:D,4,0)</f>
        <v>25</v>
      </c>
      <c r="I505">
        <f>VLOOKUP(Table1[[#This Row],[Called Node]],Nodes!A:E,5,0)</f>
        <v>10</v>
      </c>
    </row>
    <row r="506" spans="1:9" x14ac:dyDescent="0.3">
      <c r="A506" t="s">
        <v>277</v>
      </c>
      <c r="B506" t="str">
        <f>VLOOKUP(Table1[[#This Row],[Calling Node]],Nodes!A:B,2,0)</f>
        <v>test_download_file</v>
      </c>
      <c r="C506" t="s">
        <v>114</v>
      </c>
      <c r="D506" t="str">
        <f>VLOOKUP(Table1[[#This Row],[Called Node]],Nodes!A:B,2,0)</f>
        <v>"create_app.download_file"</v>
      </c>
      <c r="E506" s="3" t="str">
        <f>Table1[[#This Row],[Calling Node]]&amp;" -&gt; "&amp;Table1[[#This Row],[Called Node]]</f>
        <v>test_download_file -&gt; "create_app.download_file"</v>
      </c>
      <c r="F506">
        <f>VLOOKUP(Table1[[#This Row],[Calling Node]],Nodes!A:D,4,0)</f>
        <v>28</v>
      </c>
      <c r="G506">
        <f>VLOOKUP(Table1[[#This Row],[Calling Node]],Nodes!A:E,5,0)</f>
        <v>9</v>
      </c>
      <c r="H506">
        <f>VLOOKUP(Table1[[#This Row],[Called Node]],Nodes!A:D,4,0)</f>
        <v>22</v>
      </c>
      <c r="I506">
        <f>VLOOKUP(Table1[[#This Row],[Called Node]],Nodes!A:E,5,0)</f>
        <v>8</v>
      </c>
    </row>
    <row r="507" spans="1:9" x14ac:dyDescent="0.3">
      <c r="A507" t="s">
        <v>277</v>
      </c>
      <c r="B507" t="str">
        <f>VLOOKUP(Table1[[#This Row],[Calling Node]],Nodes!A:B,2,0)</f>
        <v>test_download_file</v>
      </c>
      <c r="C507" t="s">
        <v>135</v>
      </c>
      <c r="D507" t="str">
        <f>VLOOKUP(Table1[[#This Row],[Called Node]],Nodes!A:B,2,0)</f>
        <v>file_extensions_and_mimetypes</v>
      </c>
      <c r="E507" s="3" t="str">
        <f>Table1[[#This Row],[Calling Node]]&amp;" -&gt; "&amp;Table1[[#This Row],[Called Node]]</f>
        <v>test_download_file -&gt; file_extensions_and_mimetypes</v>
      </c>
      <c r="F507">
        <f>VLOOKUP(Table1[[#This Row],[Calling Node]],Nodes!A:D,4,0)</f>
        <v>28</v>
      </c>
      <c r="G507">
        <f>VLOOKUP(Table1[[#This Row],[Calling Node]],Nodes!A:E,5,0)</f>
        <v>9</v>
      </c>
      <c r="H507">
        <f>VLOOKUP(Table1[[#This Row],[Called Node]],Nodes!A:D,4,0)</f>
        <v>23</v>
      </c>
      <c r="I507">
        <f>VLOOKUP(Table1[[#This Row],[Called Node]],Nodes!A:E,5,0)</f>
        <v>1</v>
      </c>
    </row>
    <row r="508" spans="1:9" x14ac:dyDescent="0.3">
      <c r="A508" t="s">
        <v>277</v>
      </c>
      <c r="B508" t="str">
        <f>VLOOKUP(Table1[[#This Row],[Calling Node]],Nodes!A:B,2,0)</f>
        <v>test_download_file</v>
      </c>
      <c r="C508" t="s">
        <v>217</v>
      </c>
      <c r="D508" t="str">
        <f>VLOOKUP(Table1[[#This Row],[Called Node]],Nodes!A:B,2,0)</f>
        <v>client</v>
      </c>
      <c r="E508" s="3" t="str">
        <f>Table1[[#This Row],[Calling Node]]&amp;" -&gt; "&amp;Table1[[#This Row],[Called Node]]</f>
        <v>test_download_file -&gt; client</v>
      </c>
      <c r="F508">
        <f>VLOOKUP(Table1[[#This Row],[Calling Node]],Nodes!A:D,4,0)</f>
        <v>28</v>
      </c>
      <c r="G508">
        <f>VLOOKUP(Table1[[#This Row],[Calling Node]],Nodes!A:E,5,0)</f>
        <v>9</v>
      </c>
      <c r="H508">
        <f>VLOOKUP(Table1[[#This Row],[Called Node]],Nodes!A:D,4,0)</f>
        <v>25</v>
      </c>
      <c r="I508">
        <f>VLOOKUP(Table1[[#This Row],[Called Node]],Nodes!A:E,5,0)</f>
        <v>3</v>
      </c>
    </row>
    <row r="509" spans="1:9" x14ac:dyDescent="0.3">
      <c r="A509" t="s">
        <v>277</v>
      </c>
      <c r="B509" t="str">
        <f>VLOOKUP(Table1[[#This Row],[Calling Node]],Nodes!A:B,2,0)</f>
        <v>test_download_file</v>
      </c>
      <c r="C509" t="s">
        <v>248</v>
      </c>
      <c r="D509" t="str">
        <f>VLOOKUP(Table1[[#This Row],[Called Node]],Nodes!A:B,2,0)</f>
        <v>path_to_sample_file</v>
      </c>
      <c r="E509" s="3" t="str">
        <f>Table1[[#This Row],[Calling Node]]&amp;" -&gt; "&amp;Table1[[#This Row],[Called Node]]</f>
        <v>test_download_file -&gt; path_to_sample_file</v>
      </c>
      <c r="F509">
        <f>VLOOKUP(Table1[[#This Row],[Calling Node]],Nodes!A:D,4,0)</f>
        <v>28</v>
      </c>
      <c r="G509">
        <f>VLOOKUP(Table1[[#This Row],[Calling Node]],Nodes!A:E,5,0)</f>
        <v>9</v>
      </c>
      <c r="H509">
        <f>VLOOKUP(Table1[[#This Row],[Called Node]],Nodes!A:D,4,0)</f>
        <v>25</v>
      </c>
      <c r="I509">
        <f>VLOOKUP(Table1[[#This Row],[Called Node]],Nodes!A:E,5,0)</f>
        <v>34</v>
      </c>
    </row>
    <row r="510" spans="1:9" x14ac:dyDescent="0.3">
      <c r="A510" t="s">
        <v>278</v>
      </c>
      <c r="B510" t="str">
        <f>VLOOKUP(Table1[[#This Row],[Calling Node]],Nodes!A:B,2,0)</f>
        <v>test_first_new_PK_value</v>
      </c>
      <c r="C510" t="s">
        <v>116</v>
      </c>
      <c r="D510" t="str">
        <f>VLOOKUP(Table1[[#This Row],[Called Node]],Nodes!A:B,2,0)</f>
        <v>first_new_PK_value</v>
      </c>
      <c r="E510" s="3" t="str">
        <f>Table1[[#This Row],[Calling Node]]&amp;" -&gt; "&amp;Table1[[#This Row],[Called Node]]</f>
        <v>test_first_new_PK_value -&gt; first_new_PK_value</v>
      </c>
      <c r="F510">
        <f>VLOOKUP(Table1[[#This Row],[Calling Node]],Nodes!A:D,4,0)</f>
        <v>28</v>
      </c>
      <c r="G510">
        <f>VLOOKUP(Table1[[#This Row],[Calling Node]],Nodes!A:E,5,0)</f>
        <v>10</v>
      </c>
      <c r="H510">
        <f>VLOOKUP(Table1[[#This Row],[Called Node]],Nodes!A:D,4,0)</f>
        <v>22</v>
      </c>
      <c r="I510">
        <f>VLOOKUP(Table1[[#This Row],[Called Node]],Nodes!A:E,5,0)</f>
        <v>10</v>
      </c>
    </row>
    <row r="511" spans="1:9" x14ac:dyDescent="0.3">
      <c r="A511" t="s">
        <v>279</v>
      </c>
      <c r="B511" t="str">
        <f>VLOOKUP(Table1[[#This Row],[Calling Node]],Nodes!A:B,2,0)</f>
        <v>test_change_single_field_dataframe_into_series</v>
      </c>
      <c r="C511" t="s">
        <v>118</v>
      </c>
      <c r="D511" t="str">
        <f>VLOOKUP(Table1[[#This Row],[Called Node]],Nodes!A:B,2,0)</f>
        <v>change_single_field_dataframe_into_series</v>
      </c>
      <c r="E511" s="3" t="str">
        <f>Table1[[#This Row],[Calling Node]]&amp;" -&gt; "&amp;Table1[[#This Row],[Called Node]]</f>
        <v>test_change_single_field_dataframe_into_series -&gt; change_single_field_dataframe_into_series</v>
      </c>
      <c r="F511">
        <f>VLOOKUP(Table1[[#This Row],[Calling Node]],Nodes!A:D,4,0)</f>
        <v>28</v>
      </c>
      <c r="G511">
        <f>VLOOKUP(Table1[[#This Row],[Calling Node]],Nodes!A:E,5,0)</f>
        <v>11</v>
      </c>
      <c r="H511">
        <f>VLOOKUP(Table1[[#This Row],[Called Node]],Nodes!A:D,4,0)</f>
        <v>22</v>
      </c>
      <c r="I511">
        <f>VLOOKUP(Table1[[#This Row],[Called Node]],Nodes!A:E,5,0)</f>
        <v>12</v>
      </c>
    </row>
    <row r="512" spans="1:9" x14ac:dyDescent="0.3">
      <c r="A512" t="s">
        <v>280</v>
      </c>
      <c r="B512" t="str">
        <f>VLOOKUP(Table1[[#This Row],[Calling Node]],Nodes!A:B,2,0)</f>
        <v>test_restore_boolean_values_to_boolean_field</v>
      </c>
      <c r="C512" t="s">
        <v>119</v>
      </c>
      <c r="D512" t="str">
        <f>VLOOKUP(Table1[[#This Row],[Called Node]],Nodes!A:B,2,0)</f>
        <v>restore_boolean_values_to_boolean_field</v>
      </c>
      <c r="E512" s="3" t="str">
        <f>Table1[[#This Row],[Calling Node]]&amp;" -&gt; "&amp;Table1[[#This Row],[Called Node]]</f>
        <v>test_restore_boolean_values_to_boolean_field -&gt; restore_boolean_values_to_boolean_field</v>
      </c>
      <c r="F512">
        <f>VLOOKUP(Table1[[#This Row],[Calling Node]],Nodes!A:D,4,0)</f>
        <v>28</v>
      </c>
      <c r="G512">
        <f>VLOOKUP(Table1[[#This Row],[Calling Node]],Nodes!A:E,5,0)</f>
        <v>12</v>
      </c>
      <c r="H512">
        <f>VLOOKUP(Table1[[#This Row],[Called Node]],Nodes!A:D,4,0)</f>
        <v>22</v>
      </c>
      <c r="I512">
        <f>VLOOKUP(Table1[[#This Row],[Called Node]],Nodes!A:E,5,0)</f>
        <v>13</v>
      </c>
    </row>
    <row r="513" spans="1:9" x14ac:dyDescent="0.3">
      <c r="A513" t="s">
        <v>281</v>
      </c>
      <c r="B513" t="str">
        <f>VLOOKUP(Table1[[#This Row],[Calling Node]],Nodes!A:B,2,0)</f>
        <v>test_upload_file_to_S3_bucket</v>
      </c>
      <c r="C513" t="s">
        <v>120</v>
      </c>
      <c r="D513" t="str">
        <f>VLOOKUP(Table1[[#This Row],[Called Node]],Nodes!A:B,2,0)</f>
        <v>upload_file_to_S3_bucket</v>
      </c>
      <c r="E513" s="3" t="str">
        <f>Table1[[#This Row],[Calling Node]]&amp;" -&gt; "&amp;Table1[[#This Row],[Called Node]]</f>
        <v>test_upload_file_to_S3_bucket -&gt; upload_file_to_S3_bucket</v>
      </c>
      <c r="F513">
        <f>VLOOKUP(Table1[[#This Row],[Calling Node]],Nodes!A:D,4,0)</f>
        <v>28</v>
      </c>
      <c r="G513">
        <f>VLOOKUP(Table1[[#This Row],[Calling Node]],Nodes!A:E,5,0)</f>
        <v>13</v>
      </c>
      <c r="H513">
        <f>VLOOKUP(Table1[[#This Row],[Called Node]],Nodes!A:D,4,0)</f>
        <v>22</v>
      </c>
      <c r="I513">
        <f>VLOOKUP(Table1[[#This Row],[Called Node]],Nodes!A:E,5,0)</f>
        <v>14</v>
      </c>
    </row>
    <row r="514" spans="1:9" x14ac:dyDescent="0.3">
      <c r="A514" t="s">
        <v>281</v>
      </c>
      <c r="B514" t="str">
        <f>VLOOKUP(Table1[[#This Row],[Calling Node]],Nodes!A:B,2,0)</f>
        <v>test_upload_file_to_S3_bucket</v>
      </c>
      <c r="C514" t="s">
        <v>136</v>
      </c>
      <c r="D514" t="str">
        <f>VLOOKUP(Table1[[#This Row],[Called Node]],Nodes!A:B,2,0)</f>
        <v>format_list_for_stdout</v>
      </c>
      <c r="E514" s="3" t="str">
        <f>Table1[[#This Row],[Calling Node]]&amp;" -&gt; "&amp;Table1[[#This Row],[Called Node]]</f>
        <v>test_upload_file_to_S3_bucket -&gt; format_list_for_stdout</v>
      </c>
      <c r="F514">
        <f>VLOOKUP(Table1[[#This Row],[Calling Node]],Nodes!A:D,4,0)</f>
        <v>28</v>
      </c>
      <c r="G514">
        <f>VLOOKUP(Table1[[#This Row],[Calling Node]],Nodes!A:E,5,0)</f>
        <v>13</v>
      </c>
      <c r="H514">
        <f>VLOOKUP(Table1[[#This Row],[Called Node]],Nodes!A:D,4,0)</f>
        <v>23</v>
      </c>
      <c r="I514">
        <f>VLOOKUP(Table1[[#This Row],[Called Node]],Nodes!A:E,5,0)</f>
        <v>2</v>
      </c>
    </row>
    <row r="515" spans="1:9" x14ac:dyDescent="0.3">
      <c r="A515" t="s">
        <v>281</v>
      </c>
      <c r="B515" t="str">
        <f>VLOOKUP(Table1[[#This Row],[Calling Node]],Nodes!A:B,2,0)</f>
        <v>test_upload_file_to_S3_bucket</v>
      </c>
      <c r="C515" t="s">
        <v>148</v>
      </c>
      <c r="D515" t="str">
        <f>VLOOKUP(Table1[[#This Row],[Called Node]],Nodes!A:B,2,0)</f>
        <v>upload_file_to_S3_bucket_success_regex</v>
      </c>
      <c r="E515" s="3" t="str">
        <f>Table1[[#This Row],[Calling Node]]&amp;" -&gt; "&amp;Table1[[#This Row],[Called Node]]</f>
        <v>test_upload_file_to_S3_bucket -&gt; upload_file_to_S3_bucket_success_regex</v>
      </c>
      <c r="F515">
        <f>VLOOKUP(Table1[[#This Row],[Calling Node]],Nodes!A:D,4,0)</f>
        <v>28</v>
      </c>
      <c r="G515">
        <f>VLOOKUP(Table1[[#This Row],[Calling Node]],Nodes!A:E,5,0)</f>
        <v>13</v>
      </c>
      <c r="H515">
        <f>VLOOKUP(Table1[[#This Row],[Called Node]],Nodes!A:D,4,0)</f>
        <v>23</v>
      </c>
      <c r="I515">
        <f>VLOOKUP(Table1[[#This Row],[Called Node]],Nodes!A:E,5,0)</f>
        <v>14</v>
      </c>
    </row>
    <row r="516" spans="1:9" x14ac:dyDescent="0.3">
      <c r="A516" t="s">
        <v>281</v>
      </c>
      <c r="B516" t="str">
        <f>VLOOKUP(Table1[[#This Row],[Calling Node]],Nodes!A:B,2,0)</f>
        <v>test_upload_file_to_S3_bucket</v>
      </c>
      <c r="C516" t="s">
        <v>248</v>
      </c>
      <c r="D516" t="str">
        <f>VLOOKUP(Table1[[#This Row],[Called Node]],Nodes!A:B,2,0)</f>
        <v>path_to_sample_file</v>
      </c>
      <c r="E516" s="3" t="str">
        <f>Table1[[#This Row],[Calling Node]]&amp;" -&gt; "&amp;Table1[[#This Row],[Called Node]]</f>
        <v>test_upload_file_to_S3_bucket -&gt; path_to_sample_file</v>
      </c>
      <c r="F516">
        <f>VLOOKUP(Table1[[#This Row],[Calling Node]],Nodes!A:D,4,0)</f>
        <v>28</v>
      </c>
      <c r="G516">
        <f>VLOOKUP(Table1[[#This Row],[Calling Node]],Nodes!A:E,5,0)</f>
        <v>13</v>
      </c>
      <c r="H516">
        <f>VLOOKUP(Table1[[#This Row],[Called Node]],Nodes!A:D,4,0)</f>
        <v>25</v>
      </c>
      <c r="I516">
        <f>VLOOKUP(Table1[[#This Row],[Called Node]],Nodes!A:E,5,0)</f>
        <v>34</v>
      </c>
    </row>
    <row r="517" spans="1:9" x14ac:dyDescent="0.3">
      <c r="A517" t="s">
        <v>281</v>
      </c>
      <c r="B517" t="str">
        <f>VLOOKUP(Table1[[#This Row],[Calling Node]],Nodes!A:B,2,0)</f>
        <v>test_upload_file_to_S3_bucket</v>
      </c>
      <c r="C517" t="s">
        <v>249</v>
      </c>
      <c r="D517" t="str">
        <f>VLOOKUP(Table1[[#This Row],[Called Node]],Nodes!A:B,2,0)</f>
        <v>remove_file_from_S3</v>
      </c>
      <c r="E517" s="3" t="str">
        <f>Table1[[#This Row],[Calling Node]]&amp;" -&gt; "&amp;Table1[[#This Row],[Called Node]]</f>
        <v>test_upload_file_to_S3_bucket -&gt; remove_file_from_S3</v>
      </c>
      <c r="F517">
        <f>VLOOKUP(Table1[[#This Row],[Calling Node]],Nodes!A:D,4,0)</f>
        <v>28</v>
      </c>
      <c r="G517">
        <f>VLOOKUP(Table1[[#This Row],[Calling Node]],Nodes!A:E,5,0)</f>
        <v>13</v>
      </c>
      <c r="H517">
        <f>VLOOKUP(Table1[[#This Row],[Called Node]],Nodes!A:D,4,0)</f>
        <v>25</v>
      </c>
      <c r="I517">
        <f>VLOOKUP(Table1[[#This Row],[Called Node]],Nodes!A:E,5,0)</f>
        <v>35</v>
      </c>
    </row>
    <row r="518" spans="1:9" x14ac:dyDescent="0.3">
      <c r="A518" t="s">
        <v>282</v>
      </c>
      <c r="B518" t="str">
        <f>VLOOKUP(Table1[[#This Row],[Calling Node]],Nodes!A:B,2,0)</f>
        <v>test_create_AUCT_SelectField_options</v>
      </c>
      <c r="C518" t="s">
        <v>121</v>
      </c>
      <c r="D518" t="str">
        <f>VLOOKUP(Table1[[#This Row],[Called Node]],Nodes!A:B,2,0)</f>
        <v>create_AUCT_SelectField_options</v>
      </c>
      <c r="E518" s="3" t="str">
        <f>Table1[[#This Row],[Calling Node]]&amp;" -&gt; "&amp;Table1[[#This Row],[Called Node]]</f>
        <v>test_create_AUCT_SelectField_options -&gt; create_AUCT_SelectField_options</v>
      </c>
      <c r="F518">
        <f>VLOOKUP(Table1[[#This Row],[Calling Node]],Nodes!A:D,4,0)</f>
        <v>28</v>
      </c>
      <c r="G518">
        <f>VLOOKUP(Table1[[#This Row],[Calling Node]],Nodes!A:E,5,0)</f>
        <v>14</v>
      </c>
      <c r="H518">
        <f>VLOOKUP(Table1[[#This Row],[Called Node]],Nodes!A:D,4,0)</f>
        <v>22</v>
      </c>
      <c r="I518">
        <f>VLOOKUP(Table1[[#This Row],[Called Node]],Nodes!A:E,5,0)</f>
        <v>15</v>
      </c>
    </row>
    <row r="519" spans="1:9" x14ac:dyDescent="0.3">
      <c r="A519" t="s">
        <v>283</v>
      </c>
      <c r="B519" t="str">
        <f>VLOOKUP(Table1[[#This Row],[Calling Node]],Nodes!A:B,2,0)</f>
        <v>test_truncate_longer_lines</v>
      </c>
      <c r="C519" t="s">
        <v>125</v>
      </c>
      <c r="D519" t="str">
        <f>VLOOKUP(Table1[[#This Row],[Called Node]],Nodes!A:B,2,0)</f>
        <v>truncate_longer_lines</v>
      </c>
      <c r="E519" s="3" t="str">
        <f>Table1[[#This Row],[Calling Node]]&amp;" -&gt; "&amp;Table1[[#This Row],[Called Node]]</f>
        <v>test_truncate_longer_lines -&gt; truncate_longer_lines</v>
      </c>
      <c r="F519">
        <f>VLOOKUP(Table1[[#This Row],[Calling Node]],Nodes!A:D,4,0)</f>
        <v>28</v>
      </c>
      <c r="G519">
        <f>VLOOKUP(Table1[[#This Row],[Calling Node]],Nodes!A:E,5,0)</f>
        <v>15</v>
      </c>
      <c r="H519">
        <f>VLOOKUP(Table1[[#This Row],[Called Node]],Nodes!A:D,4,0)</f>
        <v>22</v>
      </c>
      <c r="I519">
        <f>VLOOKUP(Table1[[#This Row],[Called Node]],Nodes!A:E,5,0)</f>
        <v>19</v>
      </c>
    </row>
    <row r="520" spans="1:9" x14ac:dyDescent="0.3">
      <c r="A520" t="s">
        <v>284</v>
      </c>
      <c r="B520" t="str">
        <f>VLOOKUP(Table1[[#This Row],[Calling Node]],Nodes!A:B,2,0)</f>
        <v>vendors_relation_after_test_update_database</v>
      </c>
      <c r="C520" t="s">
        <v>23</v>
      </c>
      <c r="D520" s="2" t="str">
        <f>VLOOKUP(Table1[[#This Row],[Called Node]],Nodes!A:B,2,0)</f>
        <v>state_data_types</v>
      </c>
      <c r="E520" s="3" t="str">
        <f>Table1[[#This Row],[Calling Node]]&amp;" -&gt; "&amp;Table1[[#This Row],[Called Node]]</f>
        <v>vendors_relation_after_test_update_database -&gt; state_data_types_in_vendors</v>
      </c>
      <c r="F520">
        <f>VLOOKUP(Table1[[#This Row],[Calling Node]],Nodes!A:D,4,0)</f>
        <v>28</v>
      </c>
      <c r="G520">
        <f>VLOOKUP(Table1[[#This Row],[Calling Node]],Nodes!A:E,5,0)</f>
        <v>16</v>
      </c>
      <c r="H520">
        <f>VLOOKUP(Table1[[#This Row],[Called Node]],Nodes!A:D,4,0)</f>
        <v>4</v>
      </c>
      <c r="I520">
        <f>VLOOKUP(Table1[[#This Row],[Called Node]],Nodes!A:E,5,0)</f>
        <v>1</v>
      </c>
    </row>
    <row r="521" spans="1:9" x14ac:dyDescent="0.3">
      <c r="A521" t="s">
        <v>285</v>
      </c>
      <c r="B521" t="str">
        <f>VLOOKUP(Table1[[#This Row],[Calling Node]],Nodes!A:B,2,0)</f>
        <v>test_update_database</v>
      </c>
      <c r="C521" t="s">
        <v>23</v>
      </c>
      <c r="D521" s="2" t="str">
        <f>VLOOKUP(Table1[[#This Row],[Called Node]],Nodes!A:B,2,0)</f>
        <v>state_data_types</v>
      </c>
      <c r="E521" s="3" t="str">
        <f>Table1[[#This Row],[Calling Node]]&amp;" -&gt; "&amp;Table1[[#This Row],[Called Node]]</f>
        <v>test_update_database -&gt; state_data_types_in_vendors</v>
      </c>
      <c r="F521">
        <f>VLOOKUP(Table1[[#This Row],[Calling Node]],Nodes!A:D,4,0)</f>
        <v>28</v>
      </c>
      <c r="G521">
        <f>VLOOKUP(Table1[[#This Row],[Calling Node]],Nodes!A:E,5,0)</f>
        <v>17</v>
      </c>
      <c r="H521">
        <f>VLOOKUP(Table1[[#This Row],[Called Node]],Nodes!A:D,4,0)</f>
        <v>4</v>
      </c>
      <c r="I521">
        <f>VLOOKUP(Table1[[#This Row],[Called Node]],Nodes!A:E,5,0)</f>
        <v>1</v>
      </c>
    </row>
    <row r="522" spans="1:9" x14ac:dyDescent="0.3">
      <c r="A522" t="s">
        <v>285</v>
      </c>
      <c r="B522" t="str">
        <f>VLOOKUP(Table1[[#This Row],[Calling Node]],Nodes!A:B,2,0)</f>
        <v>test_update_database</v>
      </c>
      <c r="C522" t="s">
        <v>123</v>
      </c>
      <c r="D522" t="str">
        <f>VLOOKUP(Table1[[#This Row],[Called Node]],Nodes!A:B,2,0)</f>
        <v>query_database</v>
      </c>
      <c r="E522" s="3" t="str">
        <f>Table1[[#This Row],[Calling Node]]&amp;" -&gt; "&amp;Table1[[#This Row],[Called Node]]</f>
        <v>test_update_database -&gt; query_database</v>
      </c>
      <c r="F522">
        <f>VLOOKUP(Table1[[#This Row],[Calling Node]],Nodes!A:D,4,0)</f>
        <v>28</v>
      </c>
      <c r="G522">
        <f>VLOOKUP(Table1[[#This Row],[Calling Node]],Nodes!A:E,5,0)</f>
        <v>17</v>
      </c>
      <c r="H522">
        <f>VLOOKUP(Table1[[#This Row],[Called Node]],Nodes!A:D,4,0)</f>
        <v>22</v>
      </c>
      <c r="I522">
        <f>VLOOKUP(Table1[[#This Row],[Called Node]],Nodes!A:E,5,0)</f>
        <v>17</v>
      </c>
    </row>
    <row r="523" spans="1:9" x14ac:dyDescent="0.3">
      <c r="A523" t="s">
        <v>285</v>
      </c>
      <c r="B523" t="str">
        <f>VLOOKUP(Table1[[#This Row],[Calling Node]],Nodes!A:B,2,0)</f>
        <v>test_update_database</v>
      </c>
      <c r="C523" t="s">
        <v>126</v>
      </c>
      <c r="D523" t="str">
        <f>VLOOKUP(Table1[[#This Row],[Called Node]],Nodes!A:B,2,0)</f>
        <v>update_database</v>
      </c>
      <c r="E523" s="3" t="str">
        <f>Table1[[#This Row],[Calling Node]]&amp;" -&gt; "&amp;Table1[[#This Row],[Called Node]]</f>
        <v>test_update_database -&gt; update_database</v>
      </c>
      <c r="F523">
        <f>VLOOKUP(Table1[[#This Row],[Calling Node]],Nodes!A:D,4,0)</f>
        <v>28</v>
      </c>
      <c r="G523">
        <f>VLOOKUP(Table1[[#This Row],[Calling Node]],Nodes!A:E,5,0)</f>
        <v>17</v>
      </c>
      <c r="H523">
        <f>VLOOKUP(Table1[[#This Row],[Called Node]],Nodes!A:D,4,0)</f>
        <v>22</v>
      </c>
      <c r="I523">
        <f>VLOOKUP(Table1[[#This Row],[Called Node]],Nodes!A:E,5,0)</f>
        <v>20</v>
      </c>
    </row>
    <row r="524" spans="1:9" x14ac:dyDescent="0.3">
      <c r="A524" t="s">
        <v>285</v>
      </c>
      <c r="B524" t="str">
        <f>VLOOKUP(Table1[[#This Row],[Calling Node]],Nodes!A:B,2,0)</f>
        <v>test_update_database</v>
      </c>
      <c r="C524" t="s">
        <v>155</v>
      </c>
      <c r="D524" t="str">
        <f>VLOOKUP(Table1[[#This Row],[Called Node]],Nodes!A:B,2,0)</f>
        <v>database_function_skip_statements</v>
      </c>
      <c r="E524" s="3" t="str">
        <f>Table1[[#This Row],[Calling Node]]&amp;" -&gt; "&amp;Table1[[#This Row],[Called Node]]</f>
        <v>test_update_database -&gt; database_function_skip_statements</v>
      </c>
      <c r="F524">
        <f>VLOOKUP(Table1[[#This Row],[Calling Node]],Nodes!A:D,4,0)</f>
        <v>28</v>
      </c>
      <c r="G524">
        <f>VLOOKUP(Table1[[#This Row],[Calling Node]],Nodes!A:E,5,0)</f>
        <v>17</v>
      </c>
      <c r="H524">
        <f>VLOOKUP(Table1[[#This Row],[Called Node]],Nodes!A:D,4,0)</f>
        <v>23</v>
      </c>
      <c r="I524">
        <f>VLOOKUP(Table1[[#This Row],[Called Node]],Nodes!A:E,5,0)</f>
        <v>21</v>
      </c>
    </row>
    <row r="525" spans="1:9" x14ac:dyDescent="0.3">
      <c r="A525" t="s">
        <v>285</v>
      </c>
      <c r="B525" t="str">
        <f>VLOOKUP(Table1[[#This Row],[Calling Node]],Nodes!A:B,2,0)</f>
        <v>test_update_database</v>
      </c>
      <c r="C525" t="s">
        <v>157</v>
      </c>
      <c r="D525" t="str">
        <f>VLOOKUP(Table1[[#This Row],[Called Node]],Nodes!A:B,2,0)</f>
        <v>update_database_success_regex</v>
      </c>
      <c r="E525" s="3" t="str">
        <f>Table1[[#This Row],[Calling Node]]&amp;" -&gt; "&amp;Table1[[#This Row],[Called Node]]</f>
        <v>test_update_database -&gt; update_database_success_regex</v>
      </c>
      <c r="F525">
        <f>VLOOKUP(Table1[[#This Row],[Calling Node]],Nodes!A:D,4,0)</f>
        <v>28</v>
      </c>
      <c r="G525">
        <f>VLOOKUP(Table1[[#This Row],[Calling Node]],Nodes!A:E,5,0)</f>
        <v>17</v>
      </c>
      <c r="H525">
        <f>VLOOKUP(Table1[[#This Row],[Called Node]],Nodes!A:D,4,0)</f>
        <v>23</v>
      </c>
      <c r="I525">
        <f>VLOOKUP(Table1[[#This Row],[Called Node]],Nodes!A:E,5,0)</f>
        <v>23</v>
      </c>
    </row>
    <row r="526" spans="1:9" x14ac:dyDescent="0.3">
      <c r="A526" t="s">
        <v>285</v>
      </c>
      <c r="B526" t="str">
        <f>VLOOKUP(Table1[[#This Row],[Calling Node]],Nodes!A:B,2,0)</f>
        <v>test_update_database</v>
      </c>
      <c r="C526" t="s">
        <v>215</v>
      </c>
      <c r="D526" t="str">
        <f>VLOOKUP(Table1[[#This Row],[Called Node]],Nodes!A:B,2,0)</f>
        <v>engine</v>
      </c>
      <c r="E526" s="3" t="str">
        <f>Table1[[#This Row],[Calling Node]]&amp;" -&gt; "&amp;Table1[[#This Row],[Called Node]]</f>
        <v>test_update_database -&gt; engine</v>
      </c>
      <c r="F526">
        <f>VLOOKUP(Table1[[#This Row],[Calling Node]],Nodes!A:D,4,0)</f>
        <v>28</v>
      </c>
      <c r="G526">
        <f>VLOOKUP(Table1[[#This Row],[Calling Node]],Nodes!A:E,5,0)</f>
        <v>17</v>
      </c>
      <c r="H526">
        <f>VLOOKUP(Table1[[#This Row],[Called Node]],Nodes!A:D,4,0)</f>
        <v>25</v>
      </c>
      <c r="I526">
        <f>VLOOKUP(Table1[[#This Row],[Called Node]],Nodes!A:E,5,0)</f>
        <v>1</v>
      </c>
    </row>
    <row r="527" spans="1:9" x14ac:dyDescent="0.3">
      <c r="A527" t="s">
        <v>285</v>
      </c>
      <c r="B527" t="str">
        <f>VLOOKUP(Table1[[#This Row],[Calling Node]],Nodes!A:B,2,0)</f>
        <v>test_update_database</v>
      </c>
      <c r="C527" t="s">
        <v>284</v>
      </c>
      <c r="D527" t="str">
        <f>VLOOKUP(Table1[[#This Row],[Called Node]],Nodes!A:B,2,0)</f>
        <v>vendors_relation_after_test_update_database</v>
      </c>
      <c r="E527" s="3" t="str">
        <f>Table1[[#This Row],[Calling Node]]&amp;" -&gt; "&amp;Table1[[#This Row],[Called Node]]</f>
        <v>test_update_database -&gt; vendors_relation_after_test_update_database</v>
      </c>
      <c r="F527">
        <f>VLOOKUP(Table1[[#This Row],[Calling Node]],Nodes!A:D,4,0)</f>
        <v>28</v>
      </c>
      <c r="G527">
        <f>VLOOKUP(Table1[[#This Row],[Calling Node]],Nodes!A:E,5,0)</f>
        <v>17</v>
      </c>
      <c r="H527">
        <f>VLOOKUP(Table1[[#This Row],[Called Node]],Nodes!A:D,4,0)</f>
        <v>28</v>
      </c>
      <c r="I527">
        <f>VLOOKUP(Table1[[#This Row],[Called Node]],Nodes!A:E,5,0)</f>
        <v>16</v>
      </c>
    </row>
    <row r="528" spans="1:9" x14ac:dyDescent="0.3">
      <c r="A528" t="s">
        <v>286</v>
      </c>
      <c r="B528" t="str">
        <f>VLOOKUP(Table1[[#This Row],[Calling Node]],Nodes!A:B,2,0)</f>
        <v>vendors_relation_after_test_update_database_with_insert_statement</v>
      </c>
      <c r="C528" t="s">
        <v>23</v>
      </c>
      <c r="D528" s="2" t="str">
        <f>VLOOKUP(Table1[[#This Row],[Called Node]],Nodes!A:B,2,0)</f>
        <v>state_data_types</v>
      </c>
      <c r="E528" s="3" t="str">
        <f>Table1[[#This Row],[Calling Node]]&amp;" -&gt; "&amp;Table1[[#This Row],[Called Node]]</f>
        <v>vendors_relation_after_test_update_database_with_insert_statement -&gt; state_data_types_in_vendors</v>
      </c>
      <c r="F528">
        <f>VLOOKUP(Table1[[#This Row],[Calling Node]],Nodes!A:D,4,0)</f>
        <v>28</v>
      </c>
      <c r="G528">
        <f>VLOOKUP(Table1[[#This Row],[Calling Node]],Nodes!A:E,5,0)</f>
        <v>18</v>
      </c>
      <c r="H528">
        <f>VLOOKUP(Table1[[#This Row],[Called Node]],Nodes!A:D,4,0)</f>
        <v>4</v>
      </c>
      <c r="I528">
        <f>VLOOKUP(Table1[[#This Row],[Called Node]],Nodes!A:E,5,0)</f>
        <v>1</v>
      </c>
    </row>
    <row r="529" spans="1:9" x14ac:dyDescent="0.3">
      <c r="A529" t="s">
        <v>287</v>
      </c>
      <c r="B529" t="str">
        <f>VLOOKUP(Table1[[#This Row],[Calling Node]],Nodes!A:B,2,0)</f>
        <v>test_update_database_with_insert_statement</v>
      </c>
      <c r="C529" t="s">
        <v>23</v>
      </c>
      <c r="D529" s="2" t="str">
        <f>VLOOKUP(Table1[[#This Row],[Called Node]],Nodes!A:B,2,0)</f>
        <v>state_data_types</v>
      </c>
      <c r="E529" s="3" t="str">
        <f>Table1[[#This Row],[Calling Node]]&amp;" -&gt; "&amp;Table1[[#This Row],[Called Node]]</f>
        <v>test_update_database_with_insert_statement -&gt; state_data_types_in_vendors</v>
      </c>
      <c r="F529">
        <f>VLOOKUP(Table1[[#This Row],[Calling Node]],Nodes!A:D,4,0)</f>
        <v>28</v>
      </c>
      <c r="G529">
        <f>VLOOKUP(Table1[[#This Row],[Calling Node]],Nodes!A:E,5,0)</f>
        <v>19</v>
      </c>
      <c r="H529">
        <f>VLOOKUP(Table1[[#This Row],[Called Node]],Nodes!A:D,4,0)</f>
        <v>4</v>
      </c>
      <c r="I529">
        <f>VLOOKUP(Table1[[#This Row],[Called Node]],Nodes!A:E,5,0)</f>
        <v>1</v>
      </c>
    </row>
    <row r="530" spans="1:9" x14ac:dyDescent="0.3">
      <c r="A530" t="s">
        <v>287</v>
      </c>
      <c r="B530" t="str">
        <f>VLOOKUP(Table1[[#This Row],[Calling Node]],Nodes!A:B,2,0)</f>
        <v>test_update_database_with_insert_statement</v>
      </c>
      <c r="C530" t="s">
        <v>123</v>
      </c>
      <c r="D530" t="str">
        <f>VLOOKUP(Table1[[#This Row],[Called Node]],Nodes!A:B,2,0)</f>
        <v>query_database</v>
      </c>
      <c r="E530" s="3" t="str">
        <f>Table1[[#This Row],[Calling Node]]&amp;" -&gt; "&amp;Table1[[#This Row],[Called Node]]</f>
        <v>test_update_database_with_insert_statement -&gt; query_database</v>
      </c>
      <c r="F530">
        <f>VLOOKUP(Table1[[#This Row],[Calling Node]],Nodes!A:D,4,0)</f>
        <v>28</v>
      </c>
      <c r="G530">
        <f>VLOOKUP(Table1[[#This Row],[Calling Node]],Nodes!A:E,5,0)</f>
        <v>19</v>
      </c>
      <c r="H530">
        <f>VLOOKUP(Table1[[#This Row],[Called Node]],Nodes!A:D,4,0)</f>
        <v>22</v>
      </c>
      <c r="I530">
        <f>VLOOKUP(Table1[[#This Row],[Called Node]],Nodes!A:E,5,0)</f>
        <v>17</v>
      </c>
    </row>
    <row r="531" spans="1:9" x14ac:dyDescent="0.3">
      <c r="A531" t="s">
        <v>287</v>
      </c>
      <c r="B531" t="str">
        <f>VLOOKUP(Table1[[#This Row],[Calling Node]],Nodes!A:B,2,0)</f>
        <v>test_update_database_with_insert_statement</v>
      </c>
      <c r="C531" t="s">
        <v>126</v>
      </c>
      <c r="D531" t="str">
        <f>VLOOKUP(Table1[[#This Row],[Called Node]],Nodes!A:B,2,0)</f>
        <v>update_database</v>
      </c>
      <c r="E531" s="3" t="str">
        <f>Table1[[#This Row],[Calling Node]]&amp;" -&gt; "&amp;Table1[[#This Row],[Called Node]]</f>
        <v>test_update_database_with_insert_statement -&gt; update_database</v>
      </c>
      <c r="F531">
        <f>VLOOKUP(Table1[[#This Row],[Calling Node]],Nodes!A:D,4,0)</f>
        <v>28</v>
      </c>
      <c r="G531">
        <f>VLOOKUP(Table1[[#This Row],[Calling Node]],Nodes!A:E,5,0)</f>
        <v>19</v>
      </c>
      <c r="H531">
        <f>VLOOKUP(Table1[[#This Row],[Called Node]],Nodes!A:D,4,0)</f>
        <v>22</v>
      </c>
      <c r="I531">
        <f>VLOOKUP(Table1[[#This Row],[Called Node]],Nodes!A:E,5,0)</f>
        <v>20</v>
      </c>
    </row>
    <row r="532" spans="1:9" x14ac:dyDescent="0.3">
      <c r="A532" t="s">
        <v>287</v>
      </c>
      <c r="B532" t="str">
        <f>VLOOKUP(Table1[[#This Row],[Calling Node]],Nodes!A:B,2,0)</f>
        <v>test_update_database_with_insert_statement</v>
      </c>
      <c r="C532" t="s">
        <v>155</v>
      </c>
      <c r="D532" t="str">
        <f>VLOOKUP(Table1[[#This Row],[Called Node]],Nodes!A:B,2,0)</f>
        <v>database_function_skip_statements</v>
      </c>
      <c r="E532" s="3" t="str">
        <f>Table1[[#This Row],[Calling Node]]&amp;" -&gt; "&amp;Table1[[#This Row],[Called Node]]</f>
        <v>test_update_database_with_insert_statement -&gt; database_function_skip_statements</v>
      </c>
      <c r="F532">
        <f>VLOOKUP(Table1[[#This Row],[Calling Node]],Nodes!A:D,4,0)</f>
        <v>28</v>
      </c>
      <c r="G532">
        <f>VLOOKUP(Table1[[#This Row],[Calling Node]],Nodes!A:E,5,0)</f>
        <v>19</v>
      </c>
      <c r="H532">
        <f>VLOOKUP(Table1[[#This Row],[Called Node]],Nodes!A:D,4,0)</f>
        <v>23</v>
      </c>
      <c r="I532">
        <f>VLOOKUP(Table1[[#This Row],[Called Node]],Nodes!A:E,5,0)</f>
        <v>21</v>
      </c>
    </row>
    <row r="533" spans="1:9" x14ac:dyDescent="0.3">
      <c r="A533" t="s">
        <v>287</v>
      </c>
      <c r="B533" t="str">
        <f>VLOOKUP(Table1[[#This Row],[Calling Node]],Nodes!A:B,2,0)</f>
        <v>test_update_database_with_insert_statement</v>
      </c>
      <c r="C533" t="s">
        <v>157</v>
      </c>
      <c r="D533" t="str">
        <f>VLOOKUP(Table1[[#This Row],[Called Node]],Nodes!A:B,2,0)</f>
        <v>update_database_success_regex</v>
      </c>
      <c r="E533" s="3" t="str">
        <f>Table1[[#This Row],[Calling Node]]&amp;" -&gt; "&amp;Table1[[#This Row],[Called Node]]</f>
        <v>test_update_database_with_insert_statement -&gt; update_database_success_regex</v>
      </c>
      <c r="F533">
        <f>VLOOKUP(Table1[[#This Row],[Calling Node]],Nodes!A:D,4,0)</f>
        <v>28</v>
      </c>
      <c r="G533">
        <f>VLOOKUP(Table1[[#This Row],[Calling Node]],Nodes!A:E,5,0)</f>
        <v>19</v>
      </c>
      <c r="H533">
        <f>VLOOKUP(Table1[[#This Row],[Called Node]],Nodes!A:D,4,0)</f>
        <v>23</v>
      </c>
      <c r="I533">
        <f>VLOOKUP(Table1[[#This Row],[Called Node]],Nodes!A:E,5,0)</f>
        <v>23</v>
      </c>
    </row>
    <row r="534" spans="1:9" x14ac:dyDescent="0.3">
      <c r="A534" t="s">
        <v>287</v>
      </c>
      <c r="B534" t="str">
        <f>VLOOKUP(Table1[[#This Row],[Calling Node]],Nodes!A:B,2,0)</f>
        <v>test_update_database_with_insert_statement</v>
      </c>
      <c r="C534" t="s">
        <v>215</v>
      </c>
      <c r="D534" t="str">
        <f>VLOOKUP(Table1[[#This Row],[Called Node]],Nodes!A:B,2,0)</f>
        <v>engine</v>
      </c>
      <c r="E534" s="3" t="str">
        <f>Table1[[#This Row],[Calling Node]]&amp;" -&gt; "&amp;Table1[[#This Row],[Called Node]]</f>
        <v>test_update_database_with_insert_statement -&gt; engine</v>
      </c>
      <c r="F534">
        <f>VLOOKUP(Table1[[#This Row],[Calling Node]],Nodes!A:D,4,0)</f>
        <v>28</v>
      </c>
      <c r="G534">
        <f>VLOOKUP(Table1[[#This Row],[Calling Node]],Nodes!A:E,5,0)</f>
        <v>19</v>
      </c>
      <c r="H534">
        <f>VLOOKUP(Table1[[#This Row],[Called Node]],Nodes!A:D,4,0)</f>
        <v>25</v>
      </c>
      <c r="I534">
        <f>VLOOKUP(Table1[[#This Row],[Called Node]],Nodes!A:E,5,0)</f>
        <v>1</v>
      </c>
    </row>
    <row r="535" spans="1:9" x14ac:dyDescent="0.3">
      <c r="A535" t="s">
        <v>287</v>
      </c>
      <c r="B535" t="str">
        <f>VLOOKUP(Table1[[#This Row],[Calling Node]],Nodes!A:B,2,0)</f>
        <v>test_update_database_with_insert_statement</v>
      </c>
      <c r="C535" t="s">
        <v>286</v>
      </c>
      <c r="D535" t="str">
        <f>VLOOKUP(Table1[[#This Row],[Called Node]],Nodes!A:B,2,0)</f>
        <v>vendors_relation_after_test_update_database_with_insert_statement</v>
      </c>
      <c r="E535" s="3" t="str">
        <f>Table1[[#This Row],[Calling Node]]&amp;" -&gt; "&amp;Table1[[#This Row],[Called Node]]</f>
        <v>test_update_database_with_insert_statement -&gt; vendors_relation_after_test_update_database_with_insert_statement</v>
      </c>
      <c r="F535">
        <f>VLOOKUP(Table1[[#This Row],[Calling Node]],Nodes!A:D,4,0)</f>
        <v>28</v>
      </c>
      <c r="G535">
        <f>VLOOKUP(Table1[[#This Row],[Calling Node]],Nodes!A:E,5,0)</f>
        <v>19</v>
      </c>
      <c r="H535">
        <f>VLOOKUP(Table1[[#This Row],[Called Node]],Nodes!A:D,4,0)</f>
        <v>28</v>
      </c>
      <c r="I535">
        <f>VLOOKUP(Table1[[#This Row],[Called Node]],Nodes!A:E,5,0)</f>
        <v>18</v>
      </c>
    </row>
    <row r="536" spans="1:9" x14ac:dyDescent="0.3">
      <c r="A536" t="s">
        <v>288</v>
      </c>
      <c r="B536" t="str">
        <f>VLOOKUP(Table1[[#This Row],[Calling Node]],Nodes!A:B,2,0)</f>
        <v>test_prepare_HTML_page_for_comparison</v>
      </c>
      <c r="C536" t="s">
        <v>257</v>
      </c>
      <c r="D536" t="str">
        <f>VLOOKUP(Table1[[#This Row],[Called Node]],Nodes!A:B,2,0)</f>
        <v>prepare_HTML_page_for_comparison</v>
      </c>
      <c r="E536" s="3" t="str">
        <f>Table1[[#This Row],[Calling Node]]&amp;" -&gt; "&amp;Table1[[#This Row],[Called Node]]</f>
        <v>test_prepare_HTML_page_for_comparison -&gt; prepare_HTML_page_for_comparison</v>
      </c>
      <c r="F536">
        <f>VLOOKUP(Table1[[#This Row],[Calling Node]],Nodes!A:D,4,0)</f>
        <v>28</v>
      </c>
      <c r="G536">
        <f>VLOOKUP(Table1[[#This Row],[Calling Node]],Nodes!A:E,5,0)</f>
        <v>20</v>
      </c>
      <c r="H536">
        <f>VLOOKUP(Table1[[#This Row],[Called Node]],Nodes!A:D,4,0)</f>
        <v>25</v>
      </c>
      <c r="I536">
        <f>VLOOKUP(Table1[[#This Row],[Called Node]],Nodes!A:E,5,0)</f>
        <v>43</v>
      </c>
    </row>
    <row r="537" spans="1:9" x14ac:dyDescent="0.3">
      <c r="A537" t="s">
        <v>289</v>
      </c>
      <c r="B537" t="str">
        <f>VLOOKUP(Table1[[#This Row],[Calling Node]],Nodes!A:B,2,0)</f>
        <v>file_name_stem_and_data</v>
      </c>
      <c r="C537" t="s">
        <v>131</v>
      </c>
      <c r="D537" t="str">
        <f>VLOOKUP(Table1[[#This Row],[Called Node]],Nodes!A:B,2,0)</f>
        <v>AWS_timestamp_format</v>
      </c>
      <c r="E537" s="3" t="str">
        <f>Table1[[#This Row],[Calling Node]]&amp;" -&gt; "&amp;Table1[[#This Row],[Called Node]]</f>
        <v>file_name_stem_and_data -&gt; AWS_timestamp_format</v>
      </c>
      <c r="F537">
        <f>VLOOKUP(Table1[[#This Row],[Calling Node]],Nodes!A:D,4,0)</f>
        <v>28</v>
      </c>
      <c r="G537">
        <f>VLOOKUP(Table1[[#This Row],[Calling Node]],Nodes!A:E,5,0)</f>
        <v>21</v>
      </c>
      <c r="H537">
        <f>VLOOKUP(Table1[[#This Row],[Called Node]],Nodes!A:D,4,0)</f>
        <v>22</v>
      </c>
      <c r="I537">
        <f>VLOOKUP(Table1[[#This Row],[Called Node]],Nodes!A:E,5,0)</f>
        <v>25</v>
      </c>
    </row>
    <row r="538" spans="1:9" x14ac:dyDescent="0.3">
      <c r="A538" t="s">
        <v>289</v>
      </c>
      <c r="B538" t="str">
        <f>VLOOKUP(Table1[[#This Row],[Calling Node]],Nodes!A:B,2,0)</f>
        <v>file_name_stem_and_data</v>
      </c>
      <c r="C538" t="s">
        <v>254</v>
      </c>
      <c r="D538" t="str">
        <f>VLOOKUP(Table1[[#This Row],[Called Node]],Nodes!A:B,2,0)</f>
        <v>most_recent_month_with_usage</v>
      </c>
      <c r="E538" s="3" t="str">
        <f>Table1[[#This Row],[Calling Node]]&amp;" -&gt; "&amp;Table1[[#This Row],[Called Node]]</f>
        <v>file_name_stem_and_data -&gt; most_recent_month_with_usage</v>
      </c>
      <c r="F538">
        <f>VLOOKUP(Table1[[#This Row],[Calling Node]],Nodes!A:D,4,0)</f>
        <v>28</v>
      </c>
      <c r="G538">
        <f>VLOOKUP(Table1[[#This Row],[Calling Node]],Nodes!A:E,5,0)</f>
        <v>21</v>
      </c>
      <c r="H538">
        <f>VLOOKUP(Table1[[#This Row],[Called Node]],Nodes!A:D,4,0)</f>
        <v>25</v>
      </c>
      <c r="I538">
        <f>VLOOKUP(Table1[[#This Row],[Called Node]],Nodes!A:E,5,0)</f>
        <v>40</v>
      </c>
    </row>
    <row r="539" spans="1:9" x14ac:dyDescent="0.3">
      <c r="A539" t="s">
        <v>290</v>
      </c>
      <c r="B539" t="str">
        <f>VLOOKUP(Table1[[#This Row],[Calling Node]],Nodes!A:B,2,0)</f>
        <v>test_save_unconverted_data_via_upload</v>
      </c>
      <c r="C539" t="s">
        <v>127</v>
      </c>
      <c r="D539" t="str">
        <f>VLOOKUP(Table1[[#This Row],[Called Node]],Nodes!A:B,2,0)</f>
        <v>save_unconverted_data_via_upload</v>
      </c>
      <c r="E539" s="3" t="str">
        <f>Table1[[#This Row],[Calling Node]]&amp;" -&gt; "&amp;Table1[[#This Row],[Called Node]]</f>
        <v>test_save_unconverted_data_via_upload -&gt; save_unconverted_data_via_upload</v>
      </c>
      <c r="F539">
        <f>VLOOKUP(Table1[[#This Row],[Calling Node]],Nodes!A:D,4,0)</f>
        <v>28</v>
      </c>
      <c r="G539">
        <f>VLOOKUP(Table1[[#This Row],[Calling Node]],Nodes!A:E,5,0)</f>
        <v>22</v>
      </c>
      <c r="H539">
        <f>VLOOKUP(Table1[[#This Row],[Called Node]],Nodes!A:D,4,0)</f>
        <v>22</v>
      </c>
      <c r="I539">
        <f>VLOOKUP(Table1[[#This Row],[Called Node]],Nodes!A:E,5,0)</f>
        <v>21</v>
      </c>
    </row>
    <row r="540" spans="1:9" x14ac:dyDescent="0.3">
      <c r="A540" t="s">
        <v>290</v>
      </c>
      <c r="B540" t="str">
        <f>VLOOKUP(Table1[[#This Row],[Calling Node]],Nodes!A:B,2,0)</f>
        <v>test_save_unconverted_data_via_upload</v>
      </c>
      <c r="C540" t="s">
        <v>148</v>
      </c>
      <c r="D540" t="str">
        <f>VLOOKUP(Table1[[#This Row],[Called Node]],Nodes!A:B,2,0)</f>
        <v>upload_file_to_S3_bucket_success_regex</v>
      </c>
      <c r="E540" s="3" t="str">
        <f>Table1[[#This Row],[Calling Node]]&amp;" -&gt; "&amp;Table1[[#This Row],[Called Node]]</f>
        <v>test_save_unconverted_data_via_upload -&gt; upload_file_to_S3_bucket_success_regex</v>
      </c>
      <c r="F540">
        <f>VLOOKUP(Table1[[#This Row],[Calling Node]],Nodes!A:D,4,0)</f>
        <v>28</v>
      </c>
      <c r="G540">
        <f>VLOOKUP(Table1[[#This Row],[Calling Node]],Nodes!A:E,5,0)</f>
        <v>22</v>
      </c>
      <c r="H540">
        <f>VLOOKUP(Table1[[#This Row],[Called Node]],Nodes!A:D,4,0)</f>
        <v>23</v>
      </c>
      <c r="I540">
        <f>VLOOKUP(Table1[[#This Row],[Called Node]],Nodes!A:E,5,0)</f>
        <v>14</v>
      </c>
    </row>
    <row r="541" spans="1:9" x14ac:dyDescent="0.3">
      <c r="A541" t="s">
        <v>290</v>
      </c>
      <c r="B541" t="str">
        <f>VLOOKUP(Table1[[#This Row],[Calling Node]],Nodes!A:B,2,0)</f>
        <v>test_save_unconverted_data_via_upload</v>
      </c>
      <c r="C541" t="s">
        <v>289</v>
      </c>
      <c r="D541" t="str">
        <f>VLOOKUP(Table1[[#This Row],[Called Node]],Nodes!A:B,2,0)</f>
        <v>file_name_stem_and_data</v>
      </c>
      <c r="E541" s="3" t="str">
        <f>Table1[[#This Row],[Calling Node]]&amp;" -&gt; "&amp;Table1[[#This Row],[Called Node]]</f>
        <v>test_save_unconverted_data_via_upload -&gt; file_name_stem_and_data</v>
      </c>
      <c r="F541">
        <f>VLOOKUP(Table1[[#This Row],[Calling Node]],Nodes!A:D,4,0)</f>
        <v>28</v>
      </c>
      <c r="G541">
        <f>VLOOKUP(Table1[[#This Row],[Calling Node]],Nodes!A:E,5,0)</f>
        <v>22</v>
      </c>
      <c r="H541">
        <f>VLOOKUP(Table1[[#This Row],[Called Node]],Nodes!A:D,4,0)</f>
        <v>28</v>
      </c>
      <c r="I541">
        <f>VLOOKUP(Table1[[#This Row],[Called Node]],Nodes!A:E,5,0)</f>
        <v>21</v>
      </c>
    </row>
    <row r="542" spans="1:9" x14ac:dyDescent="0.3">
      <c r="A542" t="s">
        <v>291</v>
      </c>
      <c r="B542" t="str">
        <f>VLOOKUP(Table1[[#This Row],[Calling Node]],Nodes!A:B,2,0)</f>
        <v>test_ISSN_regex</v>
      </c>
      <c r="C542" t="s">
        <v>128</v>
      </c>
      <c r="D542" t="str">
        <f>VLOOKUP(Table1[[#This Row],[Called Node]],Nodes!A:B,2,0)</f>
        <v>ISSN_regex</v>
      </c>
      <c r="E542" s="3" t="str">
        <f>Table1[[#This Row],[Calling Node]]&amp;" -&gt; "&amp;Table1[[#This Row],[Called Node]]</f>
        <v>test_ISSN_regex -&gt; ISSN_regex</v>
      </c>
      <c r="F542">
        <f>VLOOKUP(Table1[[#This Row],[Calling Node]],Nodes!A:D,4,0)</f>
        <v>28</v>
      </c>
      <c r="G542">
        <f>VLOOKUP(Table1[[#This Row],[Calling Node]],Nodes!A:E,5,0)</f>
        <v>23</v>
      </c>
      <c r="H542">
        <f>VLOOKUP(Table1[[#This Row],[Called Node]],Nodes!A:D,4,0)</f>
        <v>22</v>
      </c>
      <c r="I542">
        <f>VLOOKUP(Table1[[#This Row],[Called Node]],Nodes!A:E,5,0)</f>
        <v>22</v>
      </c>
    </row>
    <row r="543" spans="1:9" x14ac:dyDescent="0.3">
      <c r="A543" t="s">
        <v>292</v>
      </c>
      <c r="B543" t="str">
        <f>VLOOKUP(Table1[[#This Row],[Calling Node]],Nodes!A:B,2,0)</f>
        <v>test_ISBN_regex</v>
      </c>
      <c r="C543" t="s">
        <v>129</v>
      </c>
      <c r="D543" t="str">
        <f>VLOOKUP(Table1[[#This Row],[Called Node]],Nodes!A:B,2,0)</f>
        <v>ISBN_regex</v>
      </c>
      <c r="E543" s="3" t="str">
        <f>Table1[[#This Row],[Calling Node]]&amp;" -&gt; "&amp;Table1[[#This Row],[Called Node]]</f>
        <v>test_ISBN_regex -&gt; ISBN_regex</v>
      </c>
      <c r="F543">
        <f>VLOOKUP(Table1[[#This Row],[Calling Node]],Nodes!A:D,4,0)</f>
        <v>28</v>
      </c>
      <c r="G543">
        <f>VLOOKUP(Table1[[#This Row],[Calling Node]],Nodes!A:E,5,0)</f>
        <v>24</v>
      </c>
      <c r="H543">
        <f>VLOOKUP(Table1[[#This Row],[Called Node]],Nodes!A:D,4,0)</f>
        <v>22</v>
      </c>
      <c r="I543">
        <f>VLOOKUP(Table1[[#This Row],[Called Node]],Nodes!A:E,5,0)</f>
        <v>23</v>
      </c>
    </row>
    <row r="544" spans="1:9" x14ac:dyDescent="0.3">
      <c r="A544" t="s">
        <v>293</v>
      </c>
      <c r="B544" t="str">
        <f>VLOOKUP(Table1[[#This Row],[Calling Node]],Nodes!A:B,2,0)</f>
        <v>test_last_day_of_month</v>
      </c>
      <c r="C544" t="s">
        <v>115</v>
      </c>
      <c r="D544" t="str">
        <f>VLOOKUP(Table1[[#This Row],[Called Node]],Nodes!A:B,2,0)</f>
        <v>last_day_of_month</v>
      </c>
      <c r="E544" s="3" t="str">
        <f>Table1[[#This Row],[Calling Node]]&amp;" -&gt; "&amp;Table1[[#This Row],[Called Node]]</f>
        <v>test_last_day_of_month -&gt; last_day_of_month</v>
      </c>
      <c r="F544">
        <f>VLOOKUP(Table1[[#This Row],[Calling Node]],Nodes!A:D,4,0)</f>
        <v>28</v>
      </c>
      <c r="G544">
        <f>VLOOKUP(Table1[[#This Row],[Calling Node]],Nodes!A:E,5,0)</f>
        <v>25</v>
      </c>
      <c r="H544">
        <f>VLOOKUP(Table1[[#This Row],[Called Node]],Nodes!A:D,4,0)</f>
        <v>22</v>
      </c>
      <c r="I544">
        <f>VLOOKUP(Table1[[#This Row],[Called Node]],Nodes!A:E,5,0)</f>
        <v>9</v>
      </c>
    </row>
    <row r="545" spans="1:9" x14ac:dyDescent="0.3">
      <c r="A545" t="s">
        <v>294</v>
      </c>
      <c r="B545" t="str">
        <f>VLOOKUP(Table1[[#This Row],[Calling Node]],Nodes!A:B,2,0)</f>
        <v>test_extract_value_from_single_value_df</v>
      </c>
      <c r="C545" t="s">
        <v>130</v>
      </c>
      <c r="D545" t="str">
        <f>VLOOKUP(Table1[[#This Row],[Called Node]],Nodes!A:B,2,0)</f>
        <v>extract_value_from_single_value_df</v>
      </c>
      <c r="E545" s="3" t="str">
        <f>Table1[[#This Row],[Calling Node]]&amp;" -&gt; "&amp;Table1[[#This Row],[Called Node]]</f>
        <v>test_extract_value_from_single_value_df -&gt; extract_value_from_single_value_df</v>
      </c>
      <c r="F545">
        <f>VLOOKUP(Table1[[#This Row],[Calling Node]],Nodes!A:D,4,0)</f>
        <v>28</v>
      </c>
      <c r="G545">
        <f>VLOOKUP(Table1[[#This Row],[Calling Node]],Nodes!A:E,5,0)</f>
        <v>26</v>
      </c>
      <c r="H545">
        <f>VLOOKUP(Table1[[#This Row],[Called Node]],Nodes!A:D,4,0)</f>
        <v>22</v>
      </c>
      <c r="I545">
        <f>VLOOKUP(Table1[[#This Row],[Called Node]],Nodes!A:E,5,0)</f>
        <v>24</v>
      </c>
    </row>
    <row r="546" spans="1:9" x14ac:dyDescent="0.3">
      <c r="A546" t="s">
        <v>295</v>
      </c>
      <c r="B546" t="str">
        <f>VLOOKUP(Table1[[#This Row],[Calling Node]],Nodes!A:B,2,0)</f>
        <v>test_AWS_timestamp_format</v>
      </c>
      <c r="C546" t="s">
        <v>131</v>
      </c>
      <c r="D546" t="str">
        <f>VLOOKUP(Table1[[#This Row],[Called Node]],Nodes!A:B,2,0)</f>
        <v>AWS_timestamp_format</v>
      </c>
      <c r="E546" s="3" t="str">
        <f>Table1[[#This Row],[Calling Node]]&amp;" -&gt; "&amp;Table1[[#This Row],[Called Node]]</f>
        <v>test_AWS_timestamp_format -&gt; AWS_timestamp_format</v>
      </c>
      <c r="F546">
        <f>VLOOKUP(Table1[[#This Row],[Calling Node]],Nodes!A:D,4,0)</f>
        <v>28</v>
      </c>
      <c r="G546">
        <f>VLOOKUP(Table1[[#This Row],[Calling Node]],Nodes!A:E,5,0)</f>
        <v>27</v>
      </c>
      <c r="H546">
        <f>VLOOKUP(Table1[[#This Row],[Called Node]],Nodes!A:D,4,0)</f>
        <v>22</v>
      </c>
      <c r="I546">
        <f>VLOOKUP(Table1[[#This Row],[Called Node]],Nodes!A:E,5,0)</f>
        <v>25</v>
      </c>
    </row>
    <row r="547" spans="1:9" x14ac:dyDescent="0.3">
      <c r="A547" t="s">
        <v>296</v>
      </c>
      <c r="B547" t="str">
        <f>VLOOKUP(Table1[[#This Row],[Calling Node]],Nodes!A:B,2,0)</f>
        <v>test_non_COUNTER_file_name_regex</v>
      </c>
      <c r="C547" t="s">
        <v>132</v>
      </c>
      <c r="D547" t="str">
        <f>VLOOKUP(Table1[[#This Row],[Called Node]],Nodes!A:B,2,0)</f>
        <v>non_COUNTER_file_name_regex</v>
      </c>
      <c r="E547" s="3" t="str">
        <f>Table1[[#This Row],[Calling Node]]&amp;" -&gt; "&amp;Table1[[#This Row],[Called Node]]</f>
        <v>test_non_COUNTER_file_name_regex -&gt; non_COUNTER_file_name_regex</v>
      </c>
      <c r="F547">
        <f>VLOOKUP(Table1[[#This Row],[Calling Node]],Nodes!A:D,4,0)</f>
        <v>28</v>
      </c>
      <c r="G547">
        <f>VLOOKUP(Table1[[#This Row],[Calling Node]],Nodes!A:E,5,0)</f>
        <v>28</v>
      </c>
      <c r="H547">
        <f>VLOOKUP(Table1[[#This Row],[Called Node]],Nodes!A:D,4,0)</f>
        <v>22</v>
      </c>
      <c r="I547">
        <f>VLOOKUP(Table1[[#This Row],[Called Node]],Nodes!A:E,5,0)</f>
        <v>26</v>
      </c>
    </row>
    <row r="548" spans="1:9" x14ac:dyDescent="0.3">
      <c r="A548" t="s">
        <v>297</v>
      </c>
      <c r="B548" t="str">
        <f>VLOOKUP(Table1[[#This Row],[Calling Node]],Nodes!A:B,2,0)</f>
        <v>test_empty_string_regex</v>
      </c>
      <c r="C548" t="s">
        <v>133</v>
      </c>
      <c r="D548" t="str">
        <f>VLOOKUP(Table1[[#This Row],[Called Node]],Nodes!A:B,2,0)</f>
        <v>empty_string_regex</v>
      </c>
      <c r="E548" s="3" t="str">
        <f>Table1[[#This Row],[Calling Node]]&amp;" -&gt; "&amp;Table1[[#This Row],[Called Node]]</f>
        <v>test_empty_string_regex -&gt; empty_string_regex</v>
      </c>
      <c r="F548">
        <f>VLOOKUP(Table1[[#This Row],[Calling Node]],Nodes!A:D,4,0)</f>
        <v>28</v>
      </c>
      <c r="G548">
        <f>VLOOKUP(Table1[[#This Row],[Calling Node]],Nodes!A:E,5,0)</f>
        <v>29</v>
      </c>
      <c r="H548">
        <f>VLOOKUP(Table1[[#This Row],[Called Node]],Nodes!A:D,4,0)</f>
        <v>22</v>
      </c>
      <c r="I548">
        <f>VLOOKUP(Table1[[#This Row],[Called Node]],Nodes!A:E,5,0)</f>
        <v>27</v>
      </c>
    </row>
    <row r="549" spans="1:9" x14ac:dyDescent="0.3">
      <c r="A549" t="s">
        <v>299</v>
      </c>
      <c r="B549" t="str">
        <f>VLOOKUP(Table1[[#This Row],[Calling Node]],Nodes!A:B,2,0)</f>
        <v>test_GET_request_for_annual_stats_homepage</v>
      </c>
      <c r="C549" t="s">
        <v>73</v>
      </c>
      <c r="D549" t="str">
        <f>VLOOKUP(Table1[[#This Row],[Called Node]],Nodes!A:B,2,0)</f>
        <v>annual_stats_homepage</v>
      </c>
      <c r="E549" s="3" t="str">
        <f>Table1[[#This Row],[Calling Node]]&amp;" -&gt; "&amp;Table1[[#This Row],[Called Node]]</f>
        <v>test_GET_request_for_annual_stats_homepage -&gt; annual_stats_homepage</v>
      </c>
      <c r="F549">
        <f>VLOOKUP(Table1[[#This Row],[Calling Node]],Nodes!A:D,4,0)</f>
        <v>29</v>
      </c>
      <c r="G549">
        <f>VLOOKUP(Table1[[#This Row],[Calling Node]],Nodes!A:E,5,0)</f>
        <v>1</v>
      </c>
      <c r="H549">
        <f>VLOOKUP(Table1[[#This Row],[Called Node]],Nodes!A:D,4,0)</f>
        <v>16</v>
      </c>
      <c r="I549">
        <f>VLOOKUP(Table1[[#This Row],[Called Node]],Nodes!A:E,5,0)</f>
        <v>1</v>
      </c>
    </row>
    <row r="550" spans="1:9" x14ac:dyDescent="0.3">
      <c r="A550" t="s">
        <v>299</v>
      </c>
      <c r="B550" t="str">
        <f>VLOOKUP(Table1[[#This Row],[Calling Node]],Nodes!A:B,2,0)</f>
        <v>test_GET_request_for_annual_stats_homepage</v>
      </c>
      <c r="C550" t="s">
        <v>123</v>
      </c>
      <c r="D550" t="str">
        <f>VLOOKUP(Table1[[#This Row],[Called Node]],Nodes!A:B,2,0)</f>
        <v>query_database</v>
      </c>
      <c r="E550" s="3" t="str">
        <f>Table1[[#This Row],[Calling Node]]&amp;" -&gt; "&amp;Table1[[#This Row],[Called Node]]</f>
        <v>test_GET_request_for_annual_stats_homepage -&gt; query_database</v>
      </c>
      <c r="F550">
        <f>VLOOKUP(Table1[[#This Row],[Calling Node]],Nodes!A:D,4,0)</f>
        <v>29</v>
      </c>
      <c r="G550">
        <f>VLOOKUP(Table1[[#This Row],[Calling Node]],Nodes!A:E,5,0)</f>
        <v>1</v>
      </c>
      <c r="H550">
        <f>VLOOKUP(Table1[[#This Row],[Called Node]],Nodes!A:D,4,0)</f>
        <v>22</v>
      </c>
      <c r="I550">
        <f>VLOOKUP(Table1[[#This Row],[Called Node]],Nodes!A:E,5,0)</f>
        <v>17</v>
      </c>
    </row>
    <row r="551" spans="1:9" x14ac:dyDescent="0.3">
      <c r="A551" t="s">
        <v>299</v>
      </c>
      <c r="B551" t="str">
        <f>VLOOKUP(Table1[[#This Row],[Calling Node]],Nodes!A:B,2,0)</f>
        <v>test_GET_request_for_annual_stats_homepage</v>
      </c>
      <c r="C551" t="s">
        <v>155</v>
      </c>
      <c r="D551" t="str">
        <f>VLOOKUP(Table1[[#This Row],[Called Node]],Nodes!A:B,2,0)</f>
        <v>database_function_skip_statements</v>
      </c>
      <c r="E551" s="3" t="str">
        <f>Table1[[#This Row],[Calling Node]]&amp;" -&gt; "&amp;Table1[[#This Row],[Called Node]]</f>
        <v>test_GET_request_for_annual_stats_homepage -&gt; database_function_skip_statements</v>
      </c>
      <c r="F551">
        <f>VLOOKUP(Table1[[#This Row],[Calling Node]],Nodes!A:D,4,0)</f>
        <v>29</v>
      </c>
      <c r="G551">
        <f>VLOOKUP(Table1[[#This Row],[Calling Node]],Nodes!A:E,5,0)</f>
        <v>1</v>
      </c>
      <c r="H551">
        <f>VLOOKUP(Table1[[#This Row],[Called Node]],Nodes!A:D,4,0)</f>
        <v>23</v>
      </c>
      <c r="I551">
        <f>VLOOKUP(Table1[[#This Row],[Called Node]],Nodes!A:E,5,0)</f>
        <v>21</v>
      </c>
    </row>
    <row r="552" spans="1:9" x14ac:dyDescent="0.3">
      <c r="A552" t="s">
        <v>299</v>
      </c>
      <c r="B552" t="str">
        <f>VLOOKUP(Table1[[#This Row],[Calling Node]],Nodes!A:B,2,0)</f>
        <v>test_GET_request_for_annual_stats_homepage</v>
      </c>
      <c r="C552" t="s">
        <v>215</v>
      </c>
      <c r="D552" t="str">
        <f>VLOOKUP(Table1[[#This Row],[Called Node]],Nodes!A:B,2,0)</f>
        <v>engine</v>
      </c>
      <c r="E552" s="3" t="str">
        <f>Table1[[#This Row],[Calling Node]]&amp;" -&gt; "&amp;Table1[[#This Row],[Called Node]]</f>
        <v>test_GET_request_for_annual_stats_homepage -&gt; engine</v>
      </c>
      <c r="F552">
        <f>VLOOKUP(Table1[[#This Row],[Calling Node]],Nodes!A:D,4,0)</f>
        <v>29</v>
      </c>
      <c r="G552">
        <f>VLOOKUP(Table1[[#This Row],[Calling Node]],Nodes!A:E,5,0)</f>
        <v>1</v>
      </c>
      <c r="H552">
        <f>VLOOKUP(Table1[[#This Row],[Called Node]],Nodes!A:D,4,0)</f>
        <v>25</v>
      </c>
      <c r="I552">
        <f>VLOOKUP(Table1[[#This Row],[Called Node]],Nodes!A:E,5,0)</f>
        <v>1</v>
      </c>
    </row>
    <row r="553" spans="1:9" x14ac:dyDescent="0.3">
      <c r="A553" t="s">
        <v>299</v>
      </c>
      <c r="B553" t="str">
        <f>VLOOKUP(Table1[[#This Row],[Calling Node]],Nodes!A:B,2,0)</f>
        <v>test_GET_request_for_annual_stats_homepage</v>
      </c>
      <c r="C553" t="s">
        <v>217</v>
      </c>
      <c r="D553" t="str">
        <f>VLOOKUP(Table1[[#This Row],[Called Node]],Nodes!A:B,2,0)</f>
        <v>client</v>
      </c>
      <c r="E553" s="3" t="str">
        <f>Table1[[#This Row],[Calling Node]]&amp;" -&gt; "&amp;Table1[[#This Row],[Called Node]]</f>
        <v>test_GET_request_for_annual_stats_homepage -&gt; client</v>
      </c>
      <c r="F553">
        <f>VLOOKUP(Table1[[#This Row],[Calling Node]],Nodes!A:D,4,0)</f>
        <v>29</v>
      </c>
      <c r="G553">
        <f>VLOOKUP(Table1[[#This Row],[Calling Node]],Nodes!A:E,5,0)</f>
        <v>1</v>
      </c>
      <c r="H553">
        <f>VLOOKUP(Table1[[#This Row],[Called Node]],Nodes!A:D,4,0)</f>
        <v>25</v>
      </c>
      <c r="I553">
        <f>VLOOKUP(Table1[[#This Row],[Called Node]],Nodes!A:E,5,0)</f>
        <v>3</v>
      </c>
    </row>
    <row r="554" spans="1:9" x14ac:dyDescent="0.3">
      <c r="A554" t="s">
        <v>305</v>
      </c>
      <c r="B554" t="str">
        <f>VLOOKUP(Table1[[#This Row],[Calling Node]],Nodes!A:B,2,0)</f>
        <v>test_ingest_usage_homepage</v>
      </c>
      <c r="C554" t="s">
        <v>76</v>
      </c>
      <c r="D554" t="str">
        <f>VLOOKUP(Table1[[#This Row],[Called Node]],Nodes!A:B,2,0)</f>
        <v>ingest_usage_homepage</v>
      </c>
      <c r="E554" s="3" t="str">
        <f>Table1[[#This Row],[Calling Node]]&amp;" -&gt; "&amp;Table1[[#This Row],[Called Node]]</f>
        <v>test_ingest_usage_homepage -&gt; ingest_usage_homepage</v>
      </c>
      <c r="F554">
        <f>VLOOKUP(Table1[[#This Row],[Calling Node]],Nodes!A:D,4,0)</f>
        <v>30</v>
      </c>
      <c r="G554">
        <f>VLOOKUP(Table1[[#This Row],[Calling Node]],Nodes!A:E,5,0)</f>
        <v>1</v>
      </c>
      <c r="H554">
        <f>VLOOKUP(Table1[[#This Row],[Called Node]],Nodes!A:D,4,0)</f>
        <v>17</v>
      </c>
      <c r="I554">
        <f>VLOOKUP(Table1[[#This Row],[Called Node]],Nodes!A:E,5,0)</f>
        <v>1</v>
      </c>
    </row>
    <row r="555" spans="1:9" x14ac:dyDescent="0.3">
      <c r="A555" t="s">
        <v>305</v>
      </c>
      <c r="B555" t="str">
        <f>VLOOKUP(Table1[[#This Row],[Calling Node]],Nodes!A:B,2,0)</f>
        <v>test_ingest_usage_homepage</v>
      </c>
      <c r="C555" t="s">
        <v>217</v>
      </c>
      <c r="D555" t="str">
        <f>VLOOKUP(Table1[[#This Row],[Called Node]],Nodes!A:B,2,0)</f>
        <v>client</v>
      </c>
      <c r="E555" s="3" t="str">
        <f>Table1[[#This Row],[Calling Node]]&amp;" -&gt; "&amp;Table1[[#This Row],[Called Node]]</f>
        <v>test_ingest_usage_homepage -&gt; client</v>
      </c>
      <c r="F555">
        <f>VLOOKUP(Table1[[#This Row],[Calling Node]],Nodes!A:D,4,0)</f>
        <v>30</v>
      </c>
      <c r="G555">
        <f>VLOOKUP(Table1[[#This Row],[Calling Node]],Nodes!A:E,5,0)</f>
        <v>1</v>
      </c>
      <c r="H555">
        <f>VLOOKUP(Table1[[#This Row],[Called Node]],Nodes!A:D,4,0)</f>
        <v>25</v>
      </c>
      <c r="I555">
        <f>VLOOKUP(Table1[[#This Row],[Called Node]],Nodes!A:E,5,0)</f>
        <v>3</v>
      </c>
    </row>
    <row r="556" spans="1:9" x14ac:dyDescent="0.3">
      <c r="A556" t="s">
        <v>306</v>
      </c>
      <c r="B556" t="str">
        <f>VLOOKUP(Table1[[#This Row],[Calling Node]],Nodes!A:B,2,0)</f>
        <v>test_upload_COUNTER_data_via_Excel</v>
      </c>
      <c r="C556" t="s">
        <v>55</v>
      </c>
      <c r="D556" s="2" t="str">
        <f>VLOOKUP(Table1[[#This Row],[Called Node]],Nodes!A:B,2,0)</f>
        <v>state_data_types</v>
      </c>
      <c r="E556" s="3" t="str">
        <f>Table1[[#This Row],[Calling Node]]&amp;" -&gt; "&amp;Table1[[#This Row],[Called Node]]</f>
        <v>test_upload_COUNTER_data_via_Excel -&gt; state_data_types_in_COUNTERData</v>
      </c>
      <c r="F556">
        <f>VLOOKUP(Table1[[#This Row],[Calling Node]],Nodes!A:D,4,0)</f>
        <v>30</v>
      </c>
      <c r="G556">
        <f>VLOOKUP(Table1[[#This Row],[Calling Node]],Nodes!A:E,5,0)</f>
        <v>2</v>
      </c>
      <c r="H556">
        <f>VLOOKUP(Table1[[#This Row],[Called Node]],Nodes!A:D,4,0)</f>
        <v>12</v>
      </c>
      <c r="I556">
        <f>VLOOKUP(Table1[[#This Row],[Called Node]],Nodes!A:E,5,0)</f>
        <v>1</v>
      </c>
    </row>
    <row r="557" spans="1:9" x14ac:dyDescent="0.3">
      <c r="A557" t="s">
        <v>306</v>
      </c>
      <c r="B557" t="str">
        <f>VLOOKUP(Table1[[#This Row],[Calling Node]],Nodes!A:B,2,0)</f>
        <v>test_upload_COUNTER_data_via_Excel</v>
      </c>
      <c r="C557" t="s">
        <v>77</v>
      </c>
      <c r="D557" t="str">
        <f>VLOOKUP(Table1[[#This Row],[Called Node]],Nodes!A:B,2,0)</f>
        <v>upload_COUNTER_data</v>
      </c>
      <c r="E557" s="3" t="str">
        <f>Table1[[#This Row],[Calling Node]]&amp;" -&gt; "&amp;Table1[[#This Row],[Called Node]]</f>
        <v>test_upload_COUNTER_data_via_Excel -&gt; upload_COUNTER_data</v>
      </c>
      <c r="F557">
        <f>VLOOKUP(Table1[[#This Row],[Calling Node]],Nodes!A:D,4,0)</f>
        <v>30</v>
      </c>
      <c r="G557">
        <f>VLOOKUP(Table1[[#This Row],[Calling Node]],Nodes!A:E,5,0)</f>
        <v>2</v>
      </c>
      <c r="H557">
        <f>VLOOKUP(Table1[[#This Row],[Called Node]],Nodes!A:D,4,0)</f>
        <v>17</v>
      </c>
      <c r="I557">
        <f>VLOOKUP(Table1[[#This Row],[Called Node]],Nodes!A:E,5,0)</f>
        <v>2</v>
      </c>
    </row>
    <row r="558" spans="1:9" x14ac:dyDescent="0.3">
      <c r="A558" t="s">
        <v>306</v>
      </c>
      <c r="B558" t="str">
        <f>VLOOKUP(Table1[[#This Row],[Calling Node]],Nodes!A:B,2,0)</f>
        <v>test_upload_COUNTER_data_via_Excel</v>
      </c>
      <c r="C558" t="s">
        <v>123</v>
      </c>
      <c r="D558" t="str">
        <f>VLOOKUP(Table1[[#This Row],[Called Node]],Nodes!A:B,2,0)</f>
        <v>query_database</v>
      </c>
      <c r="E558" s="3" t="str">
        <f>Table1[[#This Row],[Calling Node]]&amp;" -&gt; "&amp;Table1[[#This Row],[Called Node]]</f>
        <v>test_upload_COUNTER_data_via_Excel -&gt; query_database</v>
      </c>
      <c r="F558">
        <f>VLOOKUP(Table1[[#This Row],[Calling Node]],Nodes!A:D,4,0)</f>
        <v>30</v>
      </c>
      <c r="G558">
        <f>VLOOKUP(Table1[[#This Row],[Calling Node]],Nodes!A:E,5,0)</f>
        <v>2</v>
      </c>
      <c r="H558">
        <f>VLOOKUP(Table1[[#This Row],[Called Node]],Nodes!A:D,4,0)</f>
        <v>22</v>
      </c>
      <c r="I558">
        <f>VLOOKUP(Table1[[#This Row],[Called Node]],Nodes!A:E,5,0)</f>
        <v>17</v>
      </c>
    </row>
    <row r="559" spans="1:9" x14ac:dyDescent="0.3">
      <c r="A559" t="s">
        <v>306</v>
      </c>
      <c r="B559" t="str">
        <f>VLOOKUP(Table1[[#This Row],[Calling Node]],Nodes!A:B,2,0)</f>
        <v>test_upload_COUNTER_data_via_Excel</v>
      </c>
      <c r="C559" t="s">
        <v>136</v>
      </c>
      <c r="D559" t="str">
        <f>VLOOKUP(Table1[[#This Row],[Called Node]],Nodes!A:B,2,0)</f>
        <v>format_list_for_stdout</v>
      </c>
      <c r="E559" s="3" t="str">
        <f>Table1[[#This Row],[Calling Node]]&amp;" -&gt; "&amp;Table1[[#This Row],[Called Node]]</f>
        <v>test_upload_COUNTER_data_via_Excel -&gt; format_list_for_stdout</v>
      </c>
      <c r="F559">
        <f>VLOOKUP(Table1[[#This Row],[Calling Node]],Nodes!A:D,4,0)</f>
        <v>30</v>
      </c>
      <c r="G559">
        <f>VLOOKUP(Table1[[#This Row],[Calling Node]],Nodes!A:E,5,0)</f>
        <v>2</v>
      </c>
      <c r="H559">
        <f>VLOOKUP(Table1[[#This Row],[Called Node]],Nodes!A:D,4,0)</f>
        <v>23</v>
      </c>
      <c r="I559">
        <f>VLOOKUP(Table1[[#This Row],[Called Node]],Nodes!A:E,5,0)</f>
        <v>2</v>
      </c>
    </row>
    <row r="560" spans="1:9" x14ac:dyDescent="0.3">
      <c r="A560" t="s">
        <v>306</v>
      </c>
      <c r="B560" t="str">
        <f>VLOOKUP(Table1[[#This Row],[Calling Node]],Nodes!A:B,2,0)</f>
        <v>test_upload_COUNTER_data_via_Excel</v>
      </c>
      <c r="C560" t="s">
        <v>155</v>
      </c>
      <c r="D560" t="str">
        <f>VLOOKUP(Table1[[#This Row],[Called Node]],Nodes!A:B,2,0)</f>
        <v>database_function_skip_statements</v>
      </c>
      <c r="E560" s="3" t="str">
        <f>Table1[[#This Row],[Calling Node]]&amp;" -&gt; "&amp;Table1[[#This Row],[Called Node]]</f>
        <v>test_upload_COUNTER_data_via_Excel -&gt; database_function_skip_statements</v>
      </c>
      <c r="F560">
        <f>VLOOKUP(Table1[[#This Row],[Calling Node]],Nodes!A:D,4,0)</f>
        <v>30</v>
      </c>
      <c r="G560">
        <f>VLOOKUP(Table1[[#This Row],[Calling Node]],Nodes!A:E,5,0)</f>
        <v>2</v>
      </c>
      <c r="H560">
        <f>VLOOKUP(Table1[[#This Row],[Called Node]],Nodes!A:D,4,0)</f>
        <v>23</v>
      </c>
      <c r="I560">
        <f>VLOOKUP(Table1[[#This Row],[Called Node]],Nodes!A:E,5,0)</f>
        <v>21</v>
      </c>
    </row>
    <row r="561" spans="1:9" x14ac:dyDescent="0.3">
      <c r="A561" t="s">
        <v>306</v>
      </c>
      <c r="B561" t="str">
        <f>VLOOKUP(Table1[[#This Row],[Calling Node]],Nodes!A:B,2,0)</f>
        <v>test_upload_COUNTER_data_via_Excel</v>
      </c>
      <c r="C561" t="s">
        <v>156</v>
      </c>
      <c r="D561" t="str">
        <f>VLOOKUP(Table1[[#This Row],[Called Node]],Nodes!A:B,2,0)</f>
        <v>load_data_into_database_success_regex</v>
      </c>
      <c r="E561" s="3" t="str">
        <f>Table1[[#This Row],[Calling Node]]&amp;" -&gt; "&amp;Table1[[#This Row],[Called Node]]</f>
        <v>test_upload_COUNTER_data_via_Excel -&gt; load_data_into_database_success_regex</v>
      </c>
      <c r="F561">
        <f>VLOOKUP(Table1[[#This Row],[Calling Node]],Nodes!A:D,4,0)</f>
        <v>30</v>
      </c>
      <c r="G561">
        <f>VLOOKUP(Table1[[#This Row],[Calling Node]],Nodes!A:E,5,0)</f>
        <v>2</v>
      </c>
      <c r="H561">
        <f>VLOOKUP(Table1[[#This Row],[Called Node]],Nodes!A:D,4,0)</f>
        <v>23</v>
      </c>
      <c r="I561">
        <f>VLOOKUP(Table1[[#This Row],[Called Node]],Nodes!A:E,5,0)</f>
        <v>22</v>
      </c>
    </row>
    <row r="562" spans="1:9" x14ac:dyDescent="0.3">
      <c r="A562" t="s">
        <v>306</v>
      </c>
      <c r="B562" t="str">
        <f>VLOOKUP(Table1[[#This Row],[Calling Node]],Nodes!A:B,2,0)</f>
        <v>test_upload_COUNTER_data_via_Excel</v>
      </c>
      <c r="C562" t="s">
        <v>215</v>
      </c>
      <c r="D562" t="str">
        <f>VLOOKUP(Table1[[#This Row],[Called Node]],Nodes!A:B,2,0)</f>
        <v>engine</v>
      </c>
      <c r="E562" s="3" t="str">
        <f>Table1[[#This Row],[Calling Node]]&amp;" -&gt; "&amp;Table1[[#This Row],[Called Node]]</f>
        <v>test_upload_COUNTER_data_via_Excel -&gt; engine</v>
      </c>
      <c r="F562">
        <f>VLOOKUP(Table1[[#This Row],[Calling Node]],Nodes!A:D,4,0)</f>
        <v>30</v>
      </c>
      <c r="G562">
        <f>VLOOKUP(Table1[[#This Row],[Calling Node]],Nodes!A:E,5,0)</f>
        <v>2</v>
      </c>
      <c r="H562">
        <f>VLOOKUP(Table1[[#This Row],[Called Node]],Nodes!A:D,4,0)</f>
        <v>25</v>
      </c>
      <c r="I562">
        <f>VLOOKUP(Table1[[#This Row],[Called Node]],Nodes!A:E,5,0)</f>
        <v>1</v>
      </c>
    </row>
    <row r="563" spans="1:9" x14ac:dyDescent="0.3">
      <c r="A563" t="s">
        <v>306</v>
      </c>
      <c r="B563" t="str">
        <f>VLOOKUP(Table1[[#This Row],[Calling Node]],Nodes!A:B,2,0)</f>
        <v>test_upload_COUNTER_data_via_Excel</v>
      </c>
      <c r="C563" t="s">
        <v>217</v>
      </c>
      <c r="D563" t="str">
        <f>VLOOKUP(Table1[[#This Row],[Called Node]],Nodes!A:B,2,0)</f>
        <v>client</v>
      </c>
      <c r="E563" s="3" t="str">
        <f>Table1[[#This Row],[Calling Node]]&amp;" -&gt; "&amp;Table1[[#This Row],[Called Node]]</f>
        <v>test_upload_COUNTER_data_via_Excel -&gt; client</v>
      </c>
      <c r="F563">
        <f>VLOOKUP(Table1[[#This Row],[Calling Node]],Nodes!A:D,4,0)</f>
        <v>30</v>
      </c>
      <c r="G563">
        <f>VLOOKUP(Table1[[#This Row],[Calling Node]],Nodes!A:E,5,0)</f>
        <v>2</v>
      </c>
      <c r="H563">
        <f>VLOOKUP(Table1[[#This Row],[Called Node]],Nodes!A:D,4,0)</f>
        <v>25</v>
      </c>
      <c r="I563">
        <f>VLOOKUP(Table1[[#This Row],[Called Node]],Nodes!A:E,5,0)</f>
        <v>3</v>
      </c>
    </row>
    <row r="564" spans="1:9" x14ac:dyDescent="0.3">
      <c r="A564" t="s">
        <v>306</v>
      </c>
      <c r="B564" t="str">
        <f>VLOOKUP(Table1[[#This Row],[Calling Node]],Nodes!A:B,2,0)</f>
        <v>test_upload_COUNTER_data_via_Excel</v>
      </c>
      <c r="C564" t="s">
        <v>245</v>
      </c>
      <c r="D564" t="str">
        <f>VLOOKUP(Table1[[#This Row],[Called Node]],Nodes!A:B,2,0)</f>
        <v>create_COUNTERData_workbook_iterdir_list</v>
      </c>
      <c r="E564" s="3" t="str">
        <f>Table1[[#This Row],[Calling Node]]&amp;" -&gt; "&amp;Table1[[#This Row],[Called Node]]</f>
        <v>test_upload_COUNTER_data_via_Excel -&gt; create_COUNTERData_workbook_iterdir_list</v>
      </c>
      <c r="F564">
        <f>VLOOKUP(Table1[[#This Row],[Calling Node]],Nodes!A:D,4,0)</f>
        <v>30</v>
      </c>
      <c r="G564">
        <f>VLOOKUP(Table1[[#This Row],[Calling Node]],Nodes!A:E,5,0)</f>
        <v>2</v>
      </c>
      <c r="H564">
        <f>VLOOKUP(Table1[[#This Row],[Called Node]],Nodes!A:D,4,0)</f>
        <v>25</v>
      </c>
      <c r="I564">
        <f>VLOOKUP(Table1[[#This Row],[Called Node]],Nodes!A:E,5,0)</f>
        <v>31</v>
      </c>
    </row>
    <row r="565" spans="1:9" x14ac:dyDescent="0.3">
      <c r="A565" t="s">
        <v>306</v>
      </c>
      <c r="B565" t="str">
        <f>VLOOKUP(Table1[[#This Row],[Calling Node]],Nodes!A:B,2,0)</f>
        <v>test_upload_COUNTER_data_via_Excel</v>
      </c>
      <c r="C565" t="s">
        <v>246</v>
      </c>
      <c r="D565" t="str">
        <f>VLOOKUP(Table1[[#This Row],[Called Node]],Nodes!A:B,2,0)</f>
        <v>COUNTERData_relation</v>
      </c>
      <c r="E565" s="3" t="str">
        <f>Table1[[#This Row],[Calling Node]]&amp;" -&gt; "&amp;Table1[[#This Row],[Called Node]]</f>
        <v>test_upload_COUNTER_data_via_Excel -&gt; COUNTERData_relation</v>
      </c>
      <c r="F565">
        <f>VLOOKUP(Table1[[#This Row],[Calling Node]],Nodes!A:D,4,0)</f>
        <v>30</v>
      </c>
      <c r="G565">
        <f>VLOOKUP(Table1[[#This Row],[Calling Node]],Nodes!A:E,5,0)</f>
        <v>2</v>
      </c>
      <c r="H565">
        <f>VLOOKUP(Table1[[#This Row],[Called Node]],Nodes!A:D,4,0)</f>
        <v>25</v>
      </c>
      <c r="I565">
        <f>VLOOKUP(Table1[[#This Row],[Called Node]],Nodes!A:E,5,0)</f>
        <v>32</v>
      </c>
    </row>
    <row r="566" spans="1:9" x14ac:dyDescent="0.3">
      <c r="A566" t="s">
        <v>306</v>
      </c>
      <c r="B566" t="str">
        <f>VLOOKUP(Table1[[#This Row],[Calling Node]],Nodes!A:B,2,0)</f>
        <v>test_upload_COUNTER_data_via_Excel</v>
      </c>
      <c r="C566" t="s">
        <v>253</v>
      </c>
      <c r="D566" t="str">
        <f>VLOOKUP(Table1[[#This Row],[Called Node]],Nodes!A:B,2,0)</f>
        <v>header_value</v>
      </c>
      <c r="E566" s="3" t="str">
        <f>Table1[[#This Row],[Calling Node]]&amp;" -&gt; "&amp;Table1[[#This Row],[Called Node]]</f>
        <v>test_upload_COUNTER_data_via_Excel -&gt; header_value</v>
      </c>
      <c r="F566">
        <f>VLOOKUP(Table1[[#This Row],[Calling Node]],Nodes!A:D,4,0)</f>
        <v>30</v>
      </c>
      <c r="G566">
        <f>VLOOKUP(Table1[[#This Row],[Calling Node]],Nodes!A:E,5,0)</f>
        <v>2</v>
      </c>
      <c r="H566">
        <f>VLOOKUP(Table1[[#This Row],[Called Node]],Nodes!A:D,4,0)</f>
        <v>25</v>
      </c>
      <c r="I566">
        <f>VLOOKUP(Table1[[#This Row],[Called Node]],Nodes!A:E,5,0)</f>
        <v>39</v>
      </c>
    </row>
    <row r="567" spans="1:9" x14ac:dyDescent="0.3">
      <c r="A567" t="s">
        <v>306</v>
      </c>
      <c r="B567" t="str">
        <f>VLOOKUP(Table1[[#This Row],[Calling Node]],Nodes!A:B,2,0)</f>
        <v>test_upload_COUNTER_data_via_Excel</v>
      </c>
      <c r="C567" t="s">
        <v>257</v>
      </c>
      <c r="D567" t="str">
        <f>VLOOKUP(Table1[[#This Row],[Called Node]],Nodes!A:B,2,0)</f>
        <v>prepare_HTML_page_for_comparison</v>
      </c>
      <c r="E567" s="3" t="str">
        <f>Table1[[#This Row],[Calling Node]]&amp;" -&gt; "&amp;Table1[[#This Row],[Called Node]]</f>
        <v>test_upload_COUNTER_data_via_Excel -&gt; prepare_HTML_page_for_comparison</v>
      </c>
      <c r="F567">
        <f>VLOOKUP(Table1[[#This Row],[Calling Node]],Nodes!A:D,4,0)</f>
        <v>30</v>
      </c>
      <c r="G567">
        <f>VLOOKUP(Table1[[#This Row],[Calling Node]],Nodes!A:E,5,0)</f>
        <v>2</v>
      </c>
      <c r="H567">
        <f>VLOOKUP(Table1[[#This Row],[Called Node]],Nodes!A:D,4,0)</f>
        <v>25</v>
      </c>
      <c r="I567">
        <f>VLOOKUP(Table1[[#This Row],[Called Node]],Nodes!A:E,5,0)</f>
        <v>43</v>
      </c>
    </row>
    <row r="568" spans="1:9" x14ac:dyDescent="0.3">
      <c r="A568" t="s">
        <v>307</v>
      </c>
      <c r="B568" t="str">
        <f>VLOOKUP(Table1[[#This Row],[Calling Node]],Nodes!A:B,2,0)</f>
        <v>test_upload_COUNTER_data_via_SQL_insert</v>
      </c>
      <c r="C568" t="s">
        <v>55</v>
      </c>
      <c r="D568" s="2" t="str">
        <f>VLOOKUP(Table1[[#This Row],[Called Node]],Nodes!A:B,2,0)</f>
        <v>state_data_types</v>
      </c>
      <c r="E568" s="3" t="str">
        <f>Table1[[#This Row],[Calling Node]]&amp;" -&gt; "&amp;Table1[[#This Row],[Called Node]]</f>
        <v>test_upload_COUNTER_data_via_SQL_insert -&gt; state_data_types_in_COUNTERData</v>
      </c>
      <c r="F568">
        <f>VLOOKUP(Table1[[#This Row],[Calling Node]],Nodes!A:D,4,0)</f>
        <v>30</v>
      </c>
      <c r="G568">
        <f>VLOOKUP(Table1[[#This Row],[Calling Node]],Nodes!A:E,5,0)</f>
        <v>3</v>
      </c>
      <c r="H568">
        <f>VLOOKUP(Table1[[#This Row],[Called Node]],Nodes!A:D,4,0)</f>
        <v>12</v>
      </c>
      <c r="I568">
        <f>VLOOKUP(Table1[[#This Row],[Called Node]],Nodes!A:E,5,0)</f>
        <v>1</v>
      </c>
    </row>
    <row r="569" spans="1:9" x14ac:dyDescent="0.3">
      <c r="A569" t="s">
        <v>307</v>
      </c>
      <c r="B569" t="str">
        <f>VLOOKUP(Table1[[#This Row],[Calling Node]],Nodes!A:B,2,0)</f>
        <v>test_upload_COUNTER_data_via_SQL_insert</v>
      </c>
      <c r="C569" t="s">
        <v>77</v>
      </c>
      <c r="D569" t="str">
        <f>VLOOKUP(Table1[[#This Row],[Called Node]],Nodes!A:B,2,0)</f>
        <v>upload_COUNTER_data</v>
      </c>
      <c r="E569" s="3" t="str">
        <f>Table1[[#This Row],[Calling Node]]&amp;" -&gt; "&amp;Table1[[#This Row],[Called Node]]</f>
        <v>test_upload_COUNTER_data_via_SQL_insert -&gt; upload_COUNTER_data</v>
      </c>
      <c r="F569">
        <f>VLOOKUP(Table1[[#This Row],[Calling Node]],Nodes!A:D,4,0)</f>
        <v>30</v>
      </c>
      <c r="G569">
        <f>VLOOKUP(Table1[[#This Row],[Calling Node]],Nodes!A:E,5,0)</f>
        <v>3</v>
      </c>
      <c r="H569">
        <f>VLOOKUP(Table1[[#This Row],[Called Node]],Nodes!A:D,4,0)</f>
        <v>17</v>
      </c>
      <c r="I569">
        <f>VLOOKUP(Table1[[#This Row],[Called Node]],Nodes!A:E,5,0)</f>
        <v>2</v>
      </c>
    </row>
    <row r="570" spans="1:9" x14ac:dyDescent="0.3">
      <c r="A570" t="s">
        <v>307</v>
      </c>
      <c r="B570" t="str">
        <f>VLOOKUP(Table1[[#This Row],[Calling Node]],Nodes!A:B,2,0)</f>
        <v>test_upload_COUNTER_data_via_SQL_insert</v>
      </c>
      <c r="C570" t="s">
        <v>123</v>
      </c>
      <c r="D570" t="str">
        <f>VLOOKUP(Table1[[#This Row],[Called Node]],Nodes!A:B,2,0)</f>
        <v>query_database</v>
      </c>
      <c r="E570" s="3" t="str">
        <f>Table1[[#This Row],[Calling Node]]&amp;" -&gt; "&amp;Table1[[#This Row],[Called Node]]</f>
        <v>test_upload_COUNTER_data_via_SQL_insert -&gt; query_database</v>
      </c>
      <c r="F570">
        <f>VLOOKUP(Table1[[#This Row],[Calling Node]],Nodes!A:D,4,0)</f>
        <v>30</v>
      </c>
      <c r="G570">
        <f>VLOOKUP(Table1[[#This Row],[Calling Node]],Nodes!A:E,5,0)</f>
        <v>3</v>
      </c>
      <c r="H570">
        <f>VLOOKUP(Table1[[#This Row],[Called Node]],Nodes!A:D,4,0)</f>
        <v>22</v>
      </c>
      <c r="I570">
        <f>VLOOKUP(Table1[[#This Row],[Called Node]],Nodes!A:E,5,0)</f>
        <v>17</v>
      </c>
    </row>
    <row r="571" spans="1:9" x14ac:dyDescent="0.3">
      <c r="A571" t="s">
        <v>307</v>
      </c>
      <c r="B571" t="str">
        <f>VLOOKUP(Table1[[#This Row],[Calling Node]],Nodes!A:B,2,0)</f>
        <v>test_upload_COUNTER_data_via_SQL_insert</v>
      </c>
      <c r="C571" t="s">
        <v>130</v>
      </c>
      <c r="D571" t="str">
        <f>VLOOKUP(Table1[[#This Row],[Called Node]],Nodes!A:B,2,0)</f>
        <v>extract_value_from_single_value_df</v>
      </c>
      <c r="E571" s="3" t="str">
        <f>Table1[[#This Row],[Calling Node]]&amp;" -&gt; "&amp;Table1[[#This Row],[Called Node]]</f>
        <v>test_upload_COUNTER_data_via_SQL_insert -&gt; extract_value_from_single_value_df</v>
      </c>
      <c r="F571">
        <f>VLOOKUP(Table1[[#This Row],[Calling Node]],Nodes!A:D,4,0)</f>
        <v>30</v>
      </c>
      <c r="G571">
        <f>VLOOKUP(Table1[[#This Row],[Calling Node]],Nodes!A:E,5,0)</f>
        <v>3</v>
      </c>
      <c r="H571">
        <f>VLOOKUP(Table1[[#This Row],[Called Node]],Nodes!A:D,4,0)</f>
        <v>22</v>
      </c>
      <c r="I571">
        <f>VLOOKUP(Table1[[#This Row],[Called Node]],Nodes!A:E,5,0)</f>
        <v>24</v>
      </c>
    </row>
    <row r="572" spans="1:9" x14ac:dyDescent="0.3">
      <c r="A572" t="s">
        <v>307</v>
      </c>
      <c r="B572" t="str">
        <f>VLOOKUP(Table1[[#This Row],[Calling Node]],Nodes!A:B,2,0)</f>
        <v>test_upload_COUNTER_data_via_SQL_insert</v>
      </c>
      <c r="C572" t="s">
        <v>155</v>
      </c>
      <c r="D572" t="str">
        <f>VLOOKUP(Table1[[#This Row],[Called Node]],Nodes!A:B,2,0)</f>
        <v>database_function_skip_statements</v>
      </c>
      <c r="E572" s="3" t="str">
        <f>Table1[[#This Row],[Calling Node]]&amp;" -&gt; "&amp;Table1[[#This Row],[Called Node]]</f>
        <v>test_upload_COUNTER_data_via_SQL_insert -&gt; database_function_skip_statements</v>
      </c>
      <c r="F572">
        <f>VLOOKUP(Table1[[#This Row],[Calling Node]],Nodes!A:D,4,0)</f>
        <v>30</v>
      </c>
      <c r="G572">
        <f>VLOOKUP(Table1[[#This Row],[Calling Node]],Nodes!A:E,5,0)</f>
        <v>3</v>
      </c>
      <c r="H572">
        <f>VLOOKUP(Table1[[#This Row],[Called Node]],Nodes!A:D,4,0)</f>
        <v>23</v>
      </c>
      <c r="I572">
        <f>VLOOKUP(Table1[[#This Row],[Called Node]],Nodes!A:E,5,0)</f>
        <v>21</v>
      </c>
    </row>
    <row r="573" spans="1:9" x14ac:dyDescent="0.3">
      <c r="A573" t="s">
        <v>307</v>
      </c>
      <c r="B573" t="str">
        <f>VLOOKUP(Table1[[#This Row],[Calling Node]],Nodes!A:B,2,0)</f>
        <v>test_upload_COUNTER_data_via_SQL_insert</v>
      </c>
      <c r="C573" t="s">
        <v>215</v>
      </c>
      <c r="D573" t="str">
        <f>VLOOKUP(Table1[[#This Row],[Called Node]],Nodes!A:B,2,0)</f>
        <v>engine</v>
      </c>
      <c r="E573" s="3" t="str">
        <f>Table1[[#This Row],[Calling Node]]&amp;" -&gt; "&amp;Table1[[#This Row],[Called Node]]</f>
        <v>test_upload_COUNTER_data_via_SQL_insert -&gt; engine</v>
      </c>
      <c r="F573">
        <f>VLOOKUP(Table1[[#This Row],[Calling Node]],Nodes!A:D,4,0)</f>
        <v>30</v>
      </c>
      <c r="G573">
        <f>VLOOKUP(Table1[[#This Row],[Calling Node]],Nodes!A:E,5,0)</f>
        <v>3</v>
      </c>
      <c r="H573">
        <f>VLOOKUP(Table1[[#This Row],[Called Node]],Nodes!A:D,4,0)</f>
        <v>25</v>
      </c>
      <c r="I573">
        <f>VLOOKUP(Table1[[#This Row],[Called Node]],Nodes!A:E,5,0)</f>
        <v>1</v>
      </c>
    </row>
    <row r="574" spans="1:9" x14ac:dyDescent="0.3">
      <c r="A574" t="s">
        <v>307</v>
      </c>
      <c r="B574" t="str">
        <f>VLOOKUP(Table1[[#This Row],[Calling Node]],Nodes!A:B,2,0)</f>
        <v>test_upload_COUNTER_data_via_SQL_insert</v>
      </c>
      <c r="C574" t="s">
        <v>217</v>
      </c>
      <c r="D574" t="str">
        <f>VLOOKUP(Table1[[#This Row],[Called Node]],Nodes!A:B,2,0)</f>
        <v>client</v>
      </c>
      <c r="E574" s="3" t="str">
        <f>Table1[[#This Row],[Calling Node]]&amp;" -&gt; "&amp;Table1[[#This Row],[Called Node]]</f>
        <v>test_upload_COUNTER_data_via_SQL_insert -&gt; client</v>
      </c>
      <c r="F574">
        <f>VLOOKUP(Table1[[#This Row],[Calling Node]],Nodes!A:D,4,0)</f>
        <v>30</v>
      </c>
      <c r="G574">
        <f>VLOOKUP(Table1[[#This Row],[Calling Node]],Nodes!A:E,5,0)</f>
        <v>3</v>
      </c>
      <c r="H574">
        <f>VLOOKUP(Table1[[#This Row],[Called Node]],Nodes!A:D,4,0)</f>
        <v>25</v>
      </c>
      <c r="I574">
        <f>VLOOKUP(Table1[[#This Row],[Called Node]],Nodes!A:E,5,0)</f>
        <v>3</v>
      </c>
    </row>
    <row r="575" spans="1:9" x14ac:dyDescent="0.3">
      <c r="A575" t="s">
        <v>307</v>
      </c>
      <c r="B575" t="str">
        <f>VLOOKUP(Table1[[#This Row],[Calling Node]],Nodes!A:B,2,0)</f>
        <v>test_upload_COUNTER_data_via_SQL_insert</v>
      </c>
      <c r="C575" t="s">
        <v>253</v>
      </c>
      <c r="D575" t="str">
        <f>VLOOKUP(Table1[[#This Row],[Called Node]],Nodes!A:B,2,0)</f>
        <v>header_value</v>
      </c>
      <c r="E575" s="3" t="str">
        <f>Table1[[#This Row],[Calling Node]]&amp;" -&gt; "&amp;Table1[[#This Row],[Called Node]]</f>
        <v>test_upload_COUNTER_data_via_SQL_insert -&gt; header_value</v>
      </c>
      <c r="F575">
        <f>VLOOKUP(Table1[[#This Row],[Calling Node]],Nodes!A:D,4,0)</f>
        <v>30</v>
      </c>
      <c r="G575">
        <f>VLOOKUP(Table1[[#This Row],[Calling Node]],Nodes!A:E,5,0)</f>
        <v>3</v>
      </c>
      <c r="H575">
        <f>VLOOKUP(Table1[[#This Row],[Called Node]],Nodes!A:D,4,0)</f>
        <v>25</v>
      </c>
      <c r="I575">
        <f>VLOOKUP(Table1[[#This Row],[Called Node]],Nodes!A:E,5,0)</f>
        <v>39</v>
      </c>
    </row>
    <row r="576" spans="1:9" x14ac:dyDescent="0.3">
      <c r="A576" t="s">
        <v>308</v>
      </c>
      <c r="B576" t="str">
        <f>VLOOKUP(Table1[[#This Row],[Calling Node]],Nodes!A:B,2,0)</f>
        <v>test_match_direct_SUSHI_harvest_result</v>
      </c>
      <c r="C576" t="s">
        <v>55</v>
      </c>
      <c r="D576" s="2" t="str">
        <f>VLOOKUP(Table1[[#This Row],[Called Node]],Nodes!A:B,2,0)</f>
        <v>state_data_types</v>
      </c>
      <c r="E576" s="3" t="str">
        <f>Table1[[#This Row],[Calling Node]]&amp;" -&gt; "&amp;Table1[[#This Row],[Called Node]]</f>
        <v>test_match_direct_SUSHI_harvest_result -&gt; state_data_types_in_COUNTERData</v>
      </c>
      <c r="F576">
        <f>VLOOKUP(Table1[[#This Row],[Calling Node]],Nodes!A:D,4,0)</f>
        <v>30</v>
      </c>
      <c r="G576">
        <f>VLOOKUP(Table1[[#This Row],[Calling Node]],Nodes!A:E,5,0)</f>
        <v>4</v>
      </c>
      <c r="H576">
        <f>VLOOKUP(Table1[[#This Row],[Called Node]],Nodes!A:D,4,0)</f>
        <v>12</v>
      </c>
      <c r="I576">
        <f>VLOOKUP(Table1[[#This Row],[Called Node]],Nodes!A:E,5,0)</f>
        <v>1</v>
      </c>
    </row>
    <row r="577" spans="1:9" x14ac:dyDescent="0.3">
      <c r="A577" t="s">
        <v>308</v>
      </c>
      <c r="B577" t="str">
        <f>VLOOKUP(Table1[[#This Row],[Calling Node]],Nodes!A:B,2,0)</f>
        <v>test_match_direct_SUSHI_harvest_result</v>
      </c>
      <c r="C577" t="s">
        <v>215</v>
      </c>
      <c r="D577" t="str">
        <f>VLOOKUP(Table1[[#This Row],[Called Node]],Nodes!A:B,2,0)</f>
        <v>engine</v>
      </c>
      <c r="E577" s="3" t="str">
        <f>Table1[[#This Row],[Calling Node]]&amp;" -&gt; "&amp;Table1[[#This Row],[Called Node]]</f>
        <v>test_match_direct_SUSHI_harvest_result -&gt; engine</v>
      </c>
      <c r="F577">
        <f>VLOOKUP(Table1[[#This Row],[Calling Node]],Nodes!A:D,4,0)</f>
        <v>30</v>
      </c>
      <c r="G577">
        <f>VLOOKUP(Table1[[#This Row],[Calling Node]],Nodes!A:E,5,0)</f>
        <v>4</v>
      </c>
      <c r="H577">
        <f>VLOOKUP(Table1[[#This Row],[Called Node]],Nodes!A:D,4,0)</f>
        <v>25</v>
      </c>
      <c r="I577">
        <f>VLOOKUP(Table1[[#This Row],[Called Node]],Nodes!A:E,5,0)</f>
        <v>1</v>
      </c>
    </row>
    <row r="578" spans="1:9" x14ac:dyDescent="0.3">
      <c r="A578" t="s">
        <v>308</v>
      </c>
      <c r="B578" t="str">
        <f>VLOOKUP(Table1[[#This Row],[Calling Node]],Nodes!A:B,2,0)</f>
        <v>test_match_direct_SUSHI_harvest_result</v>
      </c>
      <c r="C578" t="s">
        <v>255</v>
      </c>
      <c r="D578" t="str">
        <f>VLOOKUP(Table1[[#This Row],[Called Node]],Nodes!A:B,2,0)</f>
        <v>match_direct_SUSHI_harvest_result</v>
      </c>
      <c r="E578" s="3" t="str">
        <f>Table1[[#This Row],[Calling Node]]&amp;" -&gt; "&amp;Table1[[#This Row],[Called Node]]</f>
        <v>test_match_direct_SUSHI_harvest_result -&gt; match_direct_SUSHI_harvest_result</v>
      </c>
      <c r="F578">
        <f>VLOOKUP(Table1[[#This Row],[Calling Node]],Nodes!A:D,4,0)</f>
        <v>30</v>
      </c>
      <c r="G578">
        <f>VLOOKUP(Table1[[#This Row],[Calling Node]],Nodes!A:E,5,0)</f>
        <v>4</v>
      </c>
      <c r="H578">
        <f>VLOOKUP(Table1[[#This Row],[Called Node]],Nodes!A:D,4,0)</f>
        <v>25</v>
      </c>
      <c r="I578">
        <f>VLOOKUP(Table1[[#This Row],[Called Node]],Nodes!A:E,5,0)</f>
        <v>41</v>
      </c>
    </row>
    <row r="579" spans="1:9" x14ac:dyDescent="0.3">
      <c r="A579" t="s">
        <v>309</v>
      </c>
      <c r="B579" t="str">
        <f>VLOOKUP(Table1[[#This Row],[Calling Node]],Nodes!A:B,2,0)</f>
        <v>test_GET_request_for_harvest_SUSHI_statistics</v>
      </c>
      <c r="C579" t="s">
        <v>78</v>
      </c>
      <c r="D579" t="str">
        <f>VLOOKUP(Table1[[#This Row],[Called Node]],Nodes!A:B,2,0)</f>
        <v>harvest_SUSHI_statistics</v>
      </c>
      <c r="E579" s="3" t="str">
        <f>Table1[[#This Row],[Calling Node]]&amp;" -&gt; "&amp;Table1[[#This Row],[Called Node]]</f>
        <v>test_GET_request_for_harvest_SUSHI_statistics -&gt; harvest_SUSHI_statistics</v>
      </c>
      <c r="F579">
        <f>VLOOKUP(Table1[[#This Row],[Calling Node]],Nodes!A:D,4,0)</f>
        <v>30</v>
      </c>
      <c r="G579">
        <f>VLOOKUP(Table1[[#This Row],[Calling Node]],Nodes!A:E,5,0)</f>
        <v>5</v>
      </c>
      <c r="H579">
        <f>VLOOKUP(Table1[[#This Row],[Called Node]],Nodes!A:D,4,0)</f>
        <v>17</v>
      </c>
      <c r="I579">
        <f>VLOOKUP(Table1[[#This Row],[Called Node]],Nodes!A:E,5,0)</f>
        <v>3</v>
      </c>
    </row>
    <row r="580" spans="1:9" x14ac:dyDescent="0.3">
      <c r="A580" t="s">
        <v>309</v>
      </c>
      <c r="B580" t="str">
        <f>VLOOKUP(Table1[[#This Row],[Calling Node]],Nodes!A:B,2,0)</f>
        <v>test_GET_request_for_harvest_SUSHI_statistics</v>
      </c>
      <c r="C580" t="s">
        <v>123</v>
      </c>
      <c r="D580" t="str">
        <f>VLOOKUP(Table1[[#This Row],[Called Node]],Nodes!A:B,2,0)</f>
        <v>query_database</v>
      </c>
      <c r="E580" s="3" t="str">
        <f>Table1[[#This Row],[Calling Node]]&amp;" -&gt; "&amp;Table1[[#This Row],[Called Node]]</f>
        <v>test_GET_request_for_harvest_SUSHI_statistics -&gt; query_database</v>
      </c>
      <c r="F580">
        <f>VLOOKUP(Table1[[#This Row],[Calling Node]],Nodes!A:D,4,0)</f>
        <v>30</v>
      </c>
      <c r="G580">
        <f>VLOOKUP(Table1[[#This Row],[Calling Node]],Nodes!A:E,5,0)</f>
        <v>5</v>
      </c>
      <c r="H580">
        <f>VLOOKUP(Table1[[#This Row],[Called Node]],Nodes!A:D,4,0)</f>
        <v>22</v>
      </c>
      <c r="I580">
        <f>VLOOKUP(Table1[[#This Row],[Called Node]],Nodes!A:E,5,0)</f>
        <v>17</v>
      </c>
    </row>
    <row r="581" spans="1:9" x14ac:dyDescent="0.3">
      <c r="A581" t="s">
        <v>309</v>
      </c>
      <c r="B581" t="str">
        <f>VLOOKUP(Table1[[#This Row],[Calling Node]],Nodes!A:B,2,0)</f>
        <v>test_GET_request_for_harvest_SUSHI_statistics</v>
      </c>
      <c r="C581" t="s">
        <v>155</v>
      </c>
      <c r="D581" t="str">
        <f>VLOOKUP(Table1[[#This Row],[Called Node]],Nodes!A:B,2,0)</f>
        <v>database_function_skip_statements</v>
      </c>
      <c r="E581" s="3" t="str">
        <f>Table1[[#This Row],[Calling Node]]&amp;" -&gt; "&amp;Table1[[#This Row],[Called Node]]</f>
        <v>test_GET_request_for_harvest_SUSHI_statistics -&gt; database_function_skip_statements</v>
      </c>
      <c r="F581">
        <f>VLOOKUP(Table1[[#This Row],[Calling Node]],Nodes!A:D,4,0)</f>
        <v>30</v>
      </c>
      <c r="G581">
        <f>VLOOKUP(Table1[[#This Row],[Calling Node]],Nodes!A:E,5,0)</f>
        <v>5</v>
      </c>
      <c r="H581">
        <f>VLOOKUP(Table1[[#This Row],[Called Node]],Nodes!A:D,4,0)</f>
        <v>23</v>
      </c>
      <c r="I581">
        <f>VLOOKUP(Table1[[#This Row],[Called Node]],Nodes!A:E,5,0)</f>
        <v>21</v>
      </c>
    </row>
    <row r="582" spans="1:9" x14ac:dyDescent="0.3">
      <c r="A582" t="s">
        <v>309</v>
      </c>
      <c r="B582" t="str">
        <f>VLOOKUP(Table1[[#This Row],[Calling Node]],Nodes!A:B,2,0)</f>
        <v>test_GET_request_for_harvest_SUSHI_statistics</v>
      </c>
      <c r="C582" t="s">
        <v>215</v>
      </c>
      <c r="D582" t="str">
        <f>VLOOKUP(Table1[[#This Row],[Called Node]],Nodes!A:B,2,0)</f>
        <v>engine</v>
      </c>
      <c r="E582" s="3" t="str">
        <f>Table1[[#This Row],[Calling Node]]&amp;" -&gt; "&amp;Table1[[#This Row],[Called Node]]</f>
        <v>test_GET_request_for_harvest_SUSHI_statistics -&gt; engine</v>
      </c>
      <c r="F582">
        <f>VLOOKUP(Table1[[#This Row],[Calling Node]],Nodes!A:D,4,0)</f>
        <v>30</v>
      </c>
      <c r="G582">
        <f>VLOOKUP(Table1[[#This Row],[Calling Node]],Nodes!A:E,5,0)</f>
        <v>5</v>
      </c>
      <c r="H582">
        <f>VLOOKUP(Table1[[#This Row],[Called Node]],Nodes!A:D,4,0)</f>
        <v>25</v>
      </c>
      <c r="I582">
        <f>VLOOKUP(Table1[[#This Row],[Called Node]],Nodes!A:E,5,0)</f>
        <v>1</v>
      </c>
    </row>
    <row r="583" spans="1:9" x14ac:dyDescent="0.3">
      <c r="A583" t="s">
        <v>309</v>
      </c>
      <c r="B583" t="str">
        <f>VLOOKUP(Table1[[#This Row],[Calling Node]],Nodes!A:B,2,0)</f>
        <v>test_GET_request_for_harvest_SUSHI_statistics</v>
      </c>
      <c r="C583" t="s">
        <v>217</v>
      </c>
      <c r="D583" t="str">
        <f>VLOOKUP(Table1[[#This Row],[Called Node]],Nodes!A:B,2,0)</f>
        <v>client</v>
      </c>
      <c r="E583" s="3" t="str">
        <f>Table1[[#This Row],[Calling Node]]&amp;" -&gt; "&amp;Table1[[#This Row],[Called Node]]</f>
        <v>test_GET_request_for_harvest_SUSHI_statistics -&gt; client</v>
      </c>
      <c r="F583">
        <f>VLOOKUP(Table1[[#This Row],[Calling Node]],Nodes!A:D,4,0)</f>
        <v>30</v>
      </c>
      <c r="G583">
        <f>VLOOKUP(Table1[[#This Row],[Calling Node]],Nodes!A:E,5,0)</f>
        <v>5</v>
      </c>
      <c r="H583">
        <f>VLOOKUP(Table1[[#This Row],[Called Node]],Nodes!A:D,4,0)</f>
        <v>25</v>
      </c>
      <c r="I583">
        <f>VLOOKUP(Table1[[#This Row],[Called Node]],Nodes!A:E,5,0)</f>
        <v>3</v>
      </c>
    </row>
    <row r="584" spans="1:9" x14ac:dyDescent="0.3">
      <c r="A584" t="s">
        <v>310</v>
      </c>
      <c r="B584" t="str">
        <f>VLOOKUP(Table1[[#This Row],[Calling Node]],Nodes!A:B,2,0)</f>
        <v>test_harvest_SUSHI_statistics</v>
      </c>
      <c r="C584" t="s">
        <v>78</v>
      </c>
      <c r="D584" t="str">
        <f>VLOOKUP(Table1[[#This Row],[Called Node]],Nodes!A:B,2,0)</f>
        <v>harvest_SUSHI_statistics</v>
      </c>
      <c r="E584" s="3" t="str">
        <f>Table1[[#This Row],[Calling Node]]&amp;" -&gt; "&amp;Table1[[#This Row],[Called Node]]</f>
        <v>test_harvest_SUSHI_statistics -&gt; harvest_SUSHI_statistics</v>
      </c>
      <c r="F584">
        <f>VLOOKUP(Table1[[#This Row],[Calling Node]],Nodes!A:D,4,0)</f>
        <v>30</v>
      </c>
      <c r="G584">
        <f>VLOOKUP(Table1[[#This Row],[Calling Node]],Nodes!A:E,5,0)</f>
        <v>6</v>
      </c>
      <c r="H584">
        <f>VLOOKUP(Table1[[#This Row],[Called Node]],Nodes!A:D,4,0)</f>
        <v>17</v>
      </c>
      <c r="I584">
        <f>VLOOKUP(Table1[[#This Row],[Called Node]],Nodes!A:E,5,0)</f>
        <v>3</v>
      </c>
    </row>
    <row r="585" spans="1:9" x14ac:dyDescent="0.3">
      <c r="A585" t="s">
        <v>310</v>
      </c>
      <c r="B585" t="str">
        <f>VLOOKUP(Table1[[#This Row],[Calling Node]],Nodes!A:B,2,0)</f>
        <v>test_harvest_SUSHI_statistics</v>
      </c>
      <c r="C585" t="s">
        <v>118</v>
      </c>
      <c r="D585" t="str">
        <f>VLOOKUP(Table1[[#This Row],[Called Node]],Nodes!A:B,2,0)</f>
        <v>change_single_field_dataframe_into_series</v>
      </c>
      <c r="E585" s="3" t="str">
        <f>Table1[[#This Row],[Calling Node]]&amp;" -&gt; "&amp;Table1[[#This Row],[Called Node]]</f>
        <v>test_harvest_SUSHI_statistics -&gt; change_single_field_dataframe_into_series</v>
      </c>
      <c r="F585">
        <f>VLOOKUP(Table1[[#This Row],[Calling Node]],Nodes!A:D,4,0)</f>
        <v>30</v>
      </c>
      <c r="G585">
        <f>VLOOKUP(Table1[[#This Row],[Calling Node]],Nodes!A:E,5,0)</f>
        <v>6</v>
      </c>
      <c r="H585">
        <f>VLOOKUP(Table1[[#This Row],[Called Node]],Nodes!A:D,4,0)</f>
        <v>22</v>
      </c>
      <c r="I585">
        <f>VLOOKUP(Table1[[#This Row],[Called Node]],Nodes!A:E,5,0)</f>
        <v>12</v>
      </c>
    </row>
    <row r="586" spans="1:9" x14ac:dyDescent="0.3">
      <c r="A586" t="s">
        <v>310</v>
      </c>
      <c r="B586" t="str">
        <f>VLOOKUP(Table1[[#This Row],[Calling Node]],Nodes!A:B,2,0)</f>
        <v>test_harvest_SUSHI_statistics</v>
      </c>
      <c r="C586" t="s">
        <v>123</v>
      </c>
      <c r="D586" t="str">
        <f>VLOOKUP(Table1[[#This Row],[Called Node]],Nodes!A:B,2,0)</f>
        <v>query_database</v>
      </c>
      <c r="E586" s="3" t="str">
        <f>Table1[[#This Row],[Calling Node]]&amp;" -&gt; "&amp;Table1[[#This Row],[Called Node]]</f>
        <v>test_harvest_SUSHI_statistics -&gt; query_database</v>
      </c>
      <c r="F586">
        <f>VLOOKUP(Table1[[#This Row],[Calling Node]],Nodes!A:D,4,0)</f>
        <v>30</v>
      </c>
      <c r="G586">
        <f>VLOOKUP(Table1[[#This Row],[Calling Node]],Nodes!A:E,5,0)</f>
        <v>6</v>
      </c>
      <c r="H586">
        <f>VLOOKUP(Table1[[#This Row],[Called Node]],Nodes!A:D,4,0)</f>
        <v>22</v>
      </c>
      <c r="I586">
        <f>VLOOKUP(Table1[[#This Row],[Called Node]],Nodes!A:E,5,0)</f>
        <v>17</v>
      </c>
    </row>
    <row r="587" spans="1:9" x14ac:dyDescent="0.3">
      <c r="A587" t="s">
        <v>310</v>
      </c>
      <c r="B587" t="str">
        <f>VLOOKUP(Table1[[#This Row],[Calling Node]],Nodes!A:B,2,0)</f>
        <v>test_harvest_SUSHI_statistics</v>
      </c>
      <c r="C587" t="s">
        <v>155</v>
      </c>
      <c r="D587" t="str">
        <f>VLOOKUP(Table1[[#This Row],[Called Node]],Nodes!A:B,2,0)</f>
        <v>database_function_skip_statements</v>
      </c>
      <c r="E587" s="3" t="str">
        <f>Table1[[#This Row],[Calling Node]]&amp;" -&gt; "&amp;Table1[[#This Row],[Called Node]]</f>
        <v>test_harvest_SUSHI_statistics -&gt; database_function_skip_statements</v>
      </c>
      <c r="F587">
        <f>VLOOKUP(Table1[[#This Row],[Calling Node]],Nodes!A:D,4,0)</f>
        <v>30</v>
      </c>
      <c r="G587">
        <f>VLOOKUP(Table1[[#This Row],[Calling Node]],Nodes!A:E,5,0)</f>
        <v>6</v>
      </c>
      <c r="H587">
        <f>VLOOKUP(Table1[[#This Row],[Called Node]],Nodes!A:D,4,0)</f>
        <v>23</v>
      </c>
      <c r="I587">
        <f>VLOOKUP(Table1[[#This Row],[Called Node]],Nodes!A:E,5,0)</f>
        <v>21</v>
      </c>
    </row>
    <row r="588" spans="1:9" x14ac:dyDescent="0.3">
      <c r="A588" t="s">
        <v>310</v>
      </c>
      <c r="B588" t="str">
        <f>VLOOKUP(Table1[[#This Row],[Calling Node]],Nodes!A:B,2,0)</f>
        <v>test_harvest_SUSHI_statistics</v>
      </c>
      <c r="C588" t="s">
        <v>215</v>
      </c>
      <c r="D588" t="str">
        <f>VLOOKUP(Table1[[#This Row],[Called Node]],Nodes!A:B,2,0)</f>
        <v>engine</v>
      </c>
      <c r="E588" s="3" t="str">
        <f>Table1[[#This Row],[Calling Node]]&amp;" -&gt; "&amp;Table1[[#This Row],[Called Node]]</f>
        <v>test_harvest_SUSHI_statistics -&gt; engine</v>
      </c>
      <c r="F588">
        <f>VLOOKUP(Table1[[#This Row],[Calling Node]],Nodes!A:D,4,0)</f>
        <v>30</v>
      </c>
      <c r="G588">
        <f>VLOOKUP(Table1[[#This Row],[Calling Node]],Nodes!A:E,5,0)</f>
        <v>6</v>
      </c>
      <c r="H588">
        <f>VLOOKUP(Table1[[#This Row],[Called Node]],Nodes!A:D,4,0)</f>
        <v>25</v>
      </c>
      <c r="I588">
        <f>VLOOKUP(Table1[[#This Row],[Called Node]],Nodes!A:E,5,0)</f>
        <v>1</v>
      </c>
    </row>
    <row r="589" spans="1:9" x14ac:dyDescent="0.3">
      <c r="A589" t="s">
        <v>310</v>
      </c>
      <c r="B589" t="str">
        <f>VLOOKUP(Table1[[#This Row],[Calling Node]],Nodes!A:B,2,0)</f>
        <v>test_harvest_SUSHI_statistics</v>
      </c>
      <c r="C589" t="s">
        <v>217</v>
      </c>
      <c r="D589" t="str">
        <f>VLOOKUP(Table1[[#This Row],[Called Node]],Nodes!A:B,2,0)</f>
        <v>client</v>
      </c>
      <c r="E589" s="3" t="str">
        <f>Table1[[#This Row],[Calling Node]]&amp;" -&gt; "&amp;Table1[[#This Row],[Called Node]]</f>
        <v>test_harvest_SUSHI_statistics -&gt; client</v>
      </c>
      <c r="F589">
        <f>VLOOKUP(Table1[[#This Row],[Calling Node]],Nodes!A:D,4,0)</f>
        <v>30</v>
      </c>
      <c r="G589">
        <f>VLOOKUP(Table1[[#This Row],[Calling Node]],Nodes!A:E,5,0)</f>
        <v>6</v>
      </c>
      <c r="H589">
        <f>VLOOKUP(Table1[[#This Row],[Called Node]],Nodes!A:D,4,0)</f>
        <v>25</v>
      </c>
      <c r="I589">
        <f>VLOOKUP(Table1[[#This Row],[Called Node]],Nodes!A:E,5,0)</f>
        <v>3</v>
      </c>
    </row>
    <row r="590" spans="1:9" x14ac:dyDescent="0.3">
      <c r="A590" t="s">
        <v>310</v>
      </c>
      <c r="B590" t="str">
        <f>VLOOKUP(Table1[[#This Row],[Calling Node]],Nodes!A:B,2,0)</f>
        <v>test_harvest_SUSHI_statistics</v>
      </c>
      <c r="C590" t="s">
        <v>253</v>
      </c>
      <c r="D590" t="str">
        <f>VLOOKUP(Table1[[#This Row],[Called Node]],Nodes!A:B,2,0)</f>
        <v>header_value</v>
      </c>
      <c r="E590" s="3" t="str">
        <f>Table1[[#This Row],[Calling Node]]&amp;" -&gt; "&amp;Table1[[#This Row],[Called Node]]</f>
        <v>test_harvest_SUSHI_statistics -&gt; header_value</v>
      </c>
      <c r="F590">
        <f>VLOOKUP(Table1[[#This Row],[Calling Node]],Nodes!A:D,4,0)</f>
        <v>30</v>
      </c>
      <c r="G590">
        <f>VLOOKUP(Table1[[#This Row],[Calling Node]],Nodes!A:E,5,0)</f>
        <v>6</v>
      </c>
      <c r="H590">
        <f>VLOOKUP(Table1[[#This Row],[Called Node]],Nodes!A:D,4,0)</f>
        <v>25</v>
      </c>
      <c r="I590">
        <f>VLOOKUP(Table1[[#This Row],[Called Node]],Nodes!A:E,5,0)</f>
        <v>39</v>
      </c>
    </row>
    <row r="591" spans="1:9" x14ac:dyDescent="0.3">
      <c r="A591" t="s">
        <v>310</v>
      </c>
      <c r="B591" t="str">
        <f>VLOOKUP(Table1[[#This Row],[Calling Node]],Nodes!A:B,2,0)</f>
        <v>test_harvest_SUSHI_statistics</v>
      </c>
      <c r="C591" t="s">
        <v>254</v>
      </c>
      <c r="D591" t="str">
        <f>VLOOKUP(Table1[[#This Row],[Called Node]],Nodes!A:B,2,0)</f>
        <v>most_recent_month_with_usage</v>
      </c>
      <c r="E591" s="3" t="str">
        <f>Table1[[#This Row],[Calling Node]]&amp;" -&gt; "&amp;Table1[[#This Row],[Called Node]]</f>
        <v>test_harvest_SUSHI_statistics -&gt; most_recent_month_with_usage</v>
      </c>
      <c r="F591">
        <f>VLOOKUP(Table1[[#This Row],[Calling Node]],Nodes!A:D,4,0)</f>
        <v>30</v>
      </c>
      <c r="G591">
        <f>VLOOKUP(Table1[[#This Row],[Calling Node]],Nodes!A:E,5,0)</f>
        <v>6</v>
      </c>
      <c r="H591">
        <f>VLOOKUP(Table1[[#This Row],[Called Node]],Nodes!A:D,4,0)</f>
        <v>25</v>
      </c>
      <c r="I591">
        <f>VLOOKUP(Table1[[#This Row],[Called Node]],Nodes!A:E,5,0)</f>
        <v>40</v>
      </c>
    </row>
    <row r="592" spans="1:9" x14ac:dyDescent="0.3">
      <c r="A592" t="s">
        <v>311</v>
      </c>
      <c r="B592" t="str">
        <f>VLOOKUP(Table1[[#This Row],[Calling Node]],Nodes!A:B,2,0)</f>
        <v>test_GET_request_for_upload_non_COUNTER_reports</v>
      </c>
      <c r="C592" t="s">
        <v>79</v>
      </c>
      <c r="D592" t="str">
        <f>VLOOKUP(Table1[[#This Row],[Called Node]],Nodes!A:B,2,0)</f>
        <v>upload_non_COUNTER_reports</v>
      </c>
      <c r="E592" s="3" t="str">
        <f>Table1[[#This Row],[Calling Node]]&amp;" -&gt; "&amp;Table1[[#This Row],[Called Node]]</f>
        <v>test_GET_request_for_upload_non_COUNTER_reports -&gt; upload_non_COUNTER_reports</v>
      </c>
      <c r="F592">
        <f>VLOOKUP(Table1[[#This Row],[Calling Node]],Nodes!A:D,4,0)</f>
        <v>30</v>
      </c>
      <c r="G592">
        <f>VLOOKUP(Table1[[#This Row],[Calling Node]],Nodes!A:E,5,0)</f>
        <v>7</v>
      </c>
      <c r="H592">
        <f>VLOOKUP(Table1[[#This Row],[Called Node]],Nodes!A:D,4,0)</f>
        <v>17</v>
      </c>
      <c r="I592">
        <f>VLOOKUP(Table1[[#This Row],[Called Node]],Nodes!A:E,5,0)</f>
        <v>4</v>
      </c>
    </row>
    <row r="593" spans="1:9" x14ac:dyDescent="0.3">
      <c r="A593" t="s">
        <v>311</v>
      </c>
      <c r="B593" t="str">
        <f>VLOOKUP(Table1[[#This Row],[Calling Node]],Nodes!A:B,2,0)</f>
        <v>test_GET_request_for_upload_non_COUNTER_reports</v>
      </c>
      <c r="C593" t="s">
        <v>121</v>
      </c>
      <c r="D593" t="str">
        <f>VLOOKUP(Table1[[#This Row],[Called Node]],Nodes!A:B,2,0)</f>
        <v>create_AUCT_SelectField_options</v>
      </c>
      <c r="E593" s="3" t="str">
        <f>Table1[[#This Row],[Calling Node]]&amp;" -&gt; "&amp;Table1[[#This Row],[Called Node]]</f>
        <v>test_GET_request_for_upload_non_COUNTER_reports -&gt; create_AUCT_SelectField_options</v>
      </c>
      <c r="F593">
        <f>VLOOKUP(Table1[[#This Row],[Calling Node]],Nodes!A:D,4,0)</f>
        <v>30</v>
      </c>
      <c r="G593">
        <f>VLOOKUP(Table1[[#This Row],[Calling Node]],Nodes!A:E,5,0)</f>
        <v>7</v>
      </c>
      <c r="H593">
        <f>VLOOKUP(Table1[[#This Row],[Called Node]],Nodes!A:D,4,0)</f>
        <v>22</v>
      </c>
      <c r="I593">
        <f>VLOOKUP(Table1[[#This Row],[Called Node]],Nodes!A:E,5,0)</f>
        <v>15</v>
      </c>
    </row>
    <row r="594" spans="1:9" x14ac:dyDescent="0.3">
      <c r="A594" t="s">
        <v>311</v>
      </c>
      <c r="B594" t="str">
        <f>VLOOKUP(Table1[[#This Row],[Calling Node]],Nodes!A:B,2,0)</f>
        <v>test_GET_request_for_upload_non_COUNTER_reports</v>
      </c>
      <c r="C594" t="s">
        <v>123</v>
      </c>
      <c r="D594" t="str">
        <f>VLOOKUP(Table1[[#This Row],[Called Node]],Nodes!A:B,2,0)</f>
        <v>query_database</v>
      </c>
      <c r="E594" s="3" t="str">
        <f>Table1[[#This Row],[Calling Node]]&amp;" -&gt; "&amp;Table1[[#This Row],[Called Node]]</f>
        <v>test_GET_request_for_upload_non_COUNTER_reports -&gt; query_database</v>
      </c>
      <c r="F594">
        <f>VLOOKUP(Table1[[#This Row],[Calling Node]],Nodes!A:D,4,0)</f>
        <v>30</v>
      </c>
      <c r="G594">
        <f>VLOOKUP(Table1[[#This Row],[Calling Node]],Nodes!A:E,5,0)</f>
        <v>7</v>
      </c>
      <c r="H594">
        <f>VLOOKUP(Table1[[#This Row],[Called Node]],Nodes!A:D,4,0)</f>
        <v>22</v>
      </c>
      <c r="I594">
        <f>VLOOKUP(Table1[[#This Row],[Called Node]],Nodes!A:E,5,0)</f>
        <v>17</v>
      </c>
    </row>
    <row r="595" spans="1:9" x14ac:dyDescent="0.3">
      <c r="A595" t="s">
        <v>311</v>
      </c>
      <c r="B595" t="str">
        <f>VLOOKUP(Table1[[#This Row],[Calling Node]],Nodes!A:B,2,0)</f>
        <v>test_GET_request_for_upload_non_COUNTER_reports</v>
      </c>
      <c r="C595" t="s">
        <v>155</v>
      </c>
      <c r="D595" t="str">
        <f>VLOOKUP(Table1[[#This Row],[Called Node]],Nodes!A:B,2,0)</f>
        <v>database_function_skip_statements</v>
      </c>
      <c r="E595" s="3" t="str">
        <f>Table1[[#This Row],[Calling Node]]&amp;" -&gt; "&amp;Table1[[#This Row],[Called Node]]</f>
        <v>test_GET_request_for_upload_non_COUNTER_reports -&gt; database_function_skip_statements</v>
      </c>
      <c r="F595">
        <f>VLOOKUP(Table1[[#This Row],[Calling Node]],Nodes!A:D,4,0)</f>
        <v>30</v>
      </c>
      <c r="G595">
        <f>VLOOKUP(Table1[[#This Row],[Calling Node]],Nodes!A:E,5,0)</f>
        <v>7</v>
      </c>
      <c r="H595">
        <f>VLOOKUP(Table1[[#This Row],[Called Node]],Nodes!A:D,4,0)</f>
        <v>23</v>
      </c>
      <c r="I595">
        <f>VLOOKUP(Table1[[#This Row],[Called Node]],Nodes!A:E,5,0)</f>
        <v>21</v>
      </c>
    </row>
    <row r="596" spans="1:9" x14ac:dyDescent="0.3">
      <c r="A596" t="s">
        <v>311</v>
      </c>
      <c r="B596" t="str">
        <f>VLOOKUP(Table1[[#This Row],[Calling Node]],Nodes!A:B,2,0)</f>
        <v>test_GET_request_for_upload_non_COUNTER_reports</v>
      </c>
      <c r="C596" t="s">
        <v>215</v>
      </c>
      <c r="D596" t="str">
        <f>VLOOKUP(Table1[[#This Row],[Called Node]],Nodes!A:B,2,0)</f>
        <v>engine</v>
      </c>
      <c r="E596" s="3" t="str">
        <f>Table1[[#This Row],[Calling Node]]&amp;" -&gt; "&amp;Table1[[#This Row],[Called Node]]</f>
        <v>test_GET_request_for_upload_non_COUNTER_reports -&gt; engine</v>
      </c>
      <c r="F596">
        <f>VLOOKUP(Table1[[#This Row],[Calling Node]],Nodes!A:D,4,0)</f>
        <v>30</v>
      </c>
      <c r="G596">
        <f>VLOOKUP(Table1[[#This Row],[Calling Node]],Nodes!A:E,5,0)</f>
        <v>7</v>
      </c>
      <c r="H596">
        <f>VLOOKUP(Table1[[#This Row],[Called Node]],Nodes!A:D,4,0)</f>
        <v>25</v>
      </c>
      <c r="I596">
        <f>VLOOKUP(Table1[[#This Row],[Called Node]],Nodes!A:E,5,0)</f>
        <v>1</v>
      </c>
    </row>
    <row r="597" spans="1:9" x14ac:dyDescent="0.3">
      <c r="A597" t="s">
        <v>311</v>
      </c>
      <c r="B597" t="str">
        <f>VLOOKUP(Table1[[#This Row],[Calling Node]],Nodes!A:B,2,0)</f>
        <v>test_GET_request_for_upload_non_COUNTER_reports</v>
      </c>
      <c r="C597" t="s">
        <v>217</v>
      </c>
      <c r="D597" t="str">
        <f>VLOOKUP(Table1[[#This Row],[Called Node]],Nodes!A:B,2,0)</f>
        <v>client</v>
      </c>
      <c r="E597" s="3" t="str">
        <f>Table1[[#This Row],[Calling Node]]&amp;" -&gt; "&amp;Table1[[#This Row],[Called Node]]</f>
        <v>test_GET_request_for_upload_non_COUNTER_reports -&gt; client</v>
      </c>
      <c r="F597">
        <f>VLOOKUP(Table1[[#This Row],[Calling Node]],Nodes!A:D,4,0)</f>
        <v>30</v>
      </c>
      <c r="G597">
        <f>VLOOKUP(Table1[[#This Row],[Calling Node]],Nodes!A:E,5,0)</f>
        <v>7</v>
      </c>
      <c r="H597">
        <f>VLOOKUP(Table1[[#This Row],[Called Node]],Nodes!A:D,4,0)</f>
        <v>25</v>
      </c>
      <c r="I597">
        <f>VLOOKUP(Table1[[#This Row],[Called Node]],Nodes!A:E,5,0)</f>
        <v>3</v>
      </c>
    </row>
    <row r="598" spans="1:9" x14ac:dyDescent="0.3">
      <c r="A598" t="s">
        <v>312</v>
      </c>
      <c r="B598" t="str">
        <f>VLOOKUP(Table1[[#This Row],[Calling Node]],Nodes!A:B,2,0)</f>
        <v>test_upload_non_COUNTER_reports</v>
      </c>
      <c r="C598" t="s">
        <v>79</v>
      </c>
      <c r="D598" t="str">
        <f>VLOOKUP(Table1[[#This Row],[Called Node]],Nodes!A:B,2,0)</f>
        <v>upload_non_COUNTER_reports</v>
      </c>
      <c r="E598" s="3" t="str">
        <f>Table1[[#This Row],[Calling Node]]&amp;" -&gt; "&amp;Table1[[#This Row],[Called Node]]</f>
        <v>test_upload_non_COUNTER_reports -&gt; upload_non_COUNTER_reports</v>
      </c>
      <c r="F598">
        <f>VLOOKUP(Table1[[#This Row],[Calling Node]],Nodes!A:D,4,0)</f>
        <v>30</v>
      </c>
      <c r="G598">
        <f>VLOOKUP(Table1[[#This Row],[Calling Node]],Nodes!A:E,5,0)</f>
        <v>8</v>
      </c>
      <c r="H598">
        <f>VLOOKUP(Table1[[#This Row],[Called Node]],Nodes!A:D,4,0)</f>
        <v>17</v>
      </c>
      <c r="I598">
        <f>VLOOKUP(Table1[[#This Row],[Called Node]],Nodes!A:E,5,0)</f>
        <v>4</v>
      </c>
    </row>
    <row r="599" spans="1:9" x14ac:dyDescent="0.3">
      <c r="A599" t="s">
        <v>312</v>
      </c>
      <c r="B599" t="str">
        <f>VLOOKUP(Table1[[#This Row],[Calling Node]],Nodes!A:B,2,0)</f>
        <v>test_upload_non_COUNTER_reports</v>
      </c>
      <c r="C599" t="s">
        <v>123</v>
      </c>
      <c r="D599" t="str">
        <f>VLOOKUP(Table1[[#This Row],[Called Node]],Nodes!A:B,2,0)</f>
        <v>query_database</v>
      </c>
      <c r="E599" s="3" t="str">
        <f>Table1[[#This Row],[Calling Node]]&amp;" -&gt; "&amp;Table1[[#This Row],[Called Node]]</f>
        <v>test_upload_non_COUNTER_reports -&gt; query_database</v>
      </c>
      <c r="F599">
        <f>VLOOKUP(Table1[[#This Row],[Calling Node]],Nodes!A:D,4,0)</f>
        <v>30</v>
      </c>
      <c r="G599">
        <f>VLOOKUP(Table1[[#This Row],[Calling Node]],Nodes!A:E,5,0)</f>
        <v>8</v>
      </c>
      <c r="H599">
        <f>VLOOKUP(Table1[[#This Row],[Called Node]],Nodes!A:D,4,0)</f>
        <v>22</v>
      </c>
      <c r="I599">
        <f>VLOOKUP(Table1[[#This Row],[Called Node]],Nodes!A:E,5,0)</f>
        <v>17</v>
      </c>
    </row>
    <row r="600" spans="1:9" x14ac:dyDescent="0.3">
      <c r="A600" t="s">
        <v>312</v>
      </c>
      <c r="B600" t="str">
        <f>VLOOKUP(Table1[[#This Row],[Calling Node]],Nodes!A:B,2,0)</f>
        <v>test_upload_non_COUNTER_reports</v>
      </c>
      <c r="C600" t="s">
        <v>136</v>
      </c>
      <c r="D600" t="str">
        <f>VLOOKUP(Table1[[#This Row],[Called Node]],Nodes!A:B,2,0)</f>
        <v>format_list_for_stdout</v>
      </c>
      <c r="E600" s="3" t="str">
        <f>Table1[[#This Row],[Calling Node]]&amp;" -&gt; "&amp;Table1[[#This Row],[Called Node]]</f>
        <v>test_upload_non_COUNTER_reports -&gt; format_list_for_stdout</v>
      </c>
      <c r="F600">
        <f>VLOOKUP(Table1[[#This Row],[Calling Node]],Nodes!A:D,4,0)</f>
        <v>30</v>
      </c>
      <c r="G600">
        <f>VLOOKUP(Table1[[#This Row],[Calling Node]],Nodes!A:E,5,0)</f>
        <v>8</v>
      </c>
      <c r="H600">
        <f>VLOOKUP(Table1[[#This Row],[Called Node]],Nodes!A:D,4,0)</f>
        <v>23</v>
      </c>
      <c r="I600">
        <f>VLOOKUP(Table1[[#This Row],[Called Node]],Nodes!A:E,5,0)</f>
        <v>2</v>
      </c>
    </row>
    <row r="601" spans="1:9" x14ac:dyDescent="0.3">
      <c r="A601" t="s">
        <v>312</v>
      </c>
      <c r="B601" t="str">
        <f>VLOOKUP(Table1[[#This Row],[Calling Node]],Nodes!A:B,2,0)</f>
        <v>test_upload_non_COUNTER_reports</v>
      </c>
      <c r="C601" t="s">
        <v>215</v>
      </c>
      <c r="D601" t="str">
        <f>VLOOKUP(Table1[[#This Row],[Called Node]],Nodes!A:B,2,0)</f>
        <v>engine</v>
      </c>
      <c r="E601" s="3" t="str">
        <f>Table1[[#This Row],[Calling Node]]&amp;" -&gt; "&amp;Table1[[#This Row],[Called Node]]</f>
        <v>test_upload_non_COUNTER_reports -&gt; engine</v>
      </c>
      <c r="F601">
        <f>VLOOKUP(Table1[[#This Row],[Calling Node]],Nodes!A:D,4,0)</f>
        <v>30</v>
      </c>
      <c r="G601">
        <f>VLOOKUP(Table1[[#This Row],[Calling Node]],Nodes!A:E,5,0)</f>
        <v>8</v>
      </c>
      <c r="H601">
        <f>VLOOKUP(Table1[[#This Row],[Called Node]],Nodes!A:D,4,0)</f>
        <v>25</v>
      </c>
      <c r="I601">
        <f>VLOOKUP(Table1[[#This Row],[Called Node]],Nodes!A:E,5,0)</f>
        <v>1</v>
      </c>
    </row>
    <row r="602" spans="1:9" x14ac:dyDescent="0.3">
      <c r="A602" t="s">
        <v>312</v>
      </c>
      <c r="B602" t="str">
        <f>VLOOKUP(Table1[[#This Row],[Calling Node]],Nodes!A:B,2,0)</f>
        <v>test_upload_non_COUNTER_reports</v>
      </c>
      <c r="C602" t="s">
        <v>217</v>
      </c>
      <c r="D602" t="str">
        <f>VLOOKUP(Table1[[#This Row],[Called Node]],Nodes!A:B,2,0)</f>
        <v>client</v>
      </c>
      <c r="E602" s="3" t="str">
        <f>Table1[[#This Row],[Calling Node]]&amp;" -&gt; "&amp;Table1[[#This Row],[Called Node]]</f>
        <v>test_upload_non_COUNTER_reports -&gt; client</v>
      </c>
      <c r="F602">
        <f>VLOOKUP(Table1[[#This Row],[Calling Node]],Nodes!A:D,4,0)</f>
        <v>30</v>
      </c>
      <c r="G602">
        <f>VLOOKUP(Table1[[#This Row],[Calling Node]],Nodes!A:E,5,0)</f>
        <v>8</v>
      </c>
      <c r="H602">
        <f>VLOOKUP(Table1[[#This Row],[Called Node]],Nodes!A:D,4,0)</f>
        <v>25</v>
      </c>
      <c r="I602">
        <f>VLOOKUP(Table1[[#This Row],[Called Node]],Nodes!A:E,5,0)</f>
        <v>3</v>
      </c>
    </row>
    <row r="603" spans="1:9" x14ac:dyDescent="0.3">
      <c r="A603" t="s">
        <v>312</v>
      </c>
      <c r="B603" t="str">
        <f>VLOOKUP(Table1[[#This Row],[Calling Node]],Nodes!A:B,2,0)</f>
        <v>test_upload_non_COUNTER_reports</v>
      </c>
      <c r="C603" t="s">
        <v>248</v>
      </c>
      <c r="D603" t="str">
        <f>VLOOKUP(Table1[[#This Row],[Called Node]],Nodes!A:B,2,0)</f>
        <v>path_to_sample_file</v>
      </c>
      <c r="E603" s="3" t="str">
        <f>Table1[[#This Row],[Calling Node]]&amp;" -&gt; "&amp;Table1[[#This Row],[Called Node]]</f>
        <v>test_upload_non_COUNTER_reports -&gt; path_to_sample_file</v>
      </c>
      <c r="F603">
        <f>VLOOKUP(Table1[[#This Row],[Calling Node]],Nodes!A:D,4,0)</f>
        <v>30</v>
      </c>
      <c r="G603">
        <f>VLOOKUP(Table1[[#This Row],[Calling Node]],Nodes!A:E,5,0)</f>
        <v>8</v>
      </c>
      <c r="H603">
        <f>VLOOKUP(Table1[[#This Row],[Called Node]],Nodes!A:D,4,0)</f>
        <v>25</v>
      </c>
      <c r="I603">
        <f>VLOOKUP(Table1[[#This Row],[Called Node]],Nodes!A:E,5,0)</f>
        <v>34</v>
      </c>
    </row>
    <row r="604" spans="1:9" x14ac:dyDescent="0.3">
      <c r="A604" t="s">
        <v>312</v>
      </c>
      <c r="B604" t="str">
        <f>VLOOKUP(Table1[[#This Row],[Calling Node]],Nodes!A:B,2,0)</f>
        <v>test_upload_non_COUNTER_reports</v>
      </c>
      <c r="C604" t="s">
        <v>250</v>
      </c>
      <c r="D604" t="str">
        <f>VLOOKUP(Table1[[#This Row],[Called Node]],Nodes!A:B,2,0)</f>
        <v>non_COUNTER_AUCT_object_before_upload</v>
      </c>
      <c r="E604" s="3" t="str">
        <f>Table1[[#This Row],[Calling Node]]&amp;" -&gt; "&amp;Table1[[#This Row],[Called Node]]</f>
        <v>test_upload_non_COUNTER_reports -&gt; non_COUNTER_AUCT_object_before_upload</v>
      </c>
      <c r="F604">
        <f>VLOOKUP(Table1[[#This Row],[Calling Node]],Nodes!A:D,4,0)</f>
        <v>30</v>
      </c>
      <c r="G604">
        <f>VLOOKUP(Table1[[#This Row],[Calling Node]],Nodes!A:E,5,0)</f>
        <v>8</v>
      </c>
      <c r="H604">
        <f>VLOOKUP(Table1[[#This Row],[Called Node]],Nodes!A:D,4,0)</f>
        <v>25</v>
      </c>
      <c r="I604">
        <f>VLOOKUP(Table1[[#This Row],[Called Node]],Nodes!A:E,5,0)</f>
        <v>36</v>
      </c>
    </row>
    <row r="605" spans="1:9" x14ac:dyDescent="0.3">
      <c r="A605" t="s">
        <v>312</v>
      </c>
      <c r="B605" t="str">
        <f>VLOOKUP(Table1[[#This Row],[Calling Node]],Nodes!A:B,2,0)</f>
        <v>test_upload_non_COUNTER_reports</v>
      </c>
      <c r="C605" t="s">
        <v>253</v>
      </c>
      <c r="D605" t="str">
        <f>VLOOKUP(Table1[[#This Row],[Called Node]],Nodes!A:B,2,0)</f>
        <v>header_value</v>
      </c>
      <c r="E605" s="3" t="str">
        <f>Table1[[#This Row],[Calling Node]]&amp;" -&gt; "&amp;Table1[[#This Row],[Called Node]]</f>
        <v>test_upload_non_COUNTER_reports -&gt; header_value</v>
      </c>
      <c r="F605">
        <f>VLOOKUP(Table1[[#This Row],[Calling Node]],Nodes!A:D,4,0)</f>
        <v>30</v>
      </c>
      <c r="G605">
        <f>VLOOKUP(Table1[[#This Row],[Calling Node]],Nodes!A:E,5,0)</f>
        <v>8</v>
      </c>
      <c r="H605">
        <f>VLOOKUP(Table1[[#This Row],[Called Node]],Nodes!A:D,4,0)</f>
        <v>25</v>
      </c>
      <c r="I605">
        <f>VLOOKUP(Table1[[#This Row],[Called Node]],Nodes!A:E,5,0)</f>
        <v>39</v>
      </c>
    </row>
    <row r="606" spans="1:9" x14ac:dyDescent="0.3">
      <c r="A606" t="s">
        <v>312</v>
      </c>
      <c r="B606" t="str">
        <f>VLOOKUP(Table1[[#This Row],[Calling Node]],Nodes!A:B,2,0)</f>
        <v>test_upload_non_COUNTER_reports</v>
      </c>
      <c r="C606" t="s">
        <v>257</v>
      </c>
      <c r="D606" t="str">
        <f>VLOOKUP(Table1[[#This Row],[Called Node]],Nodes!A:B,2,0)</f>
        <v>prepare_HTML_page_for_comparison</v>
      </c>
      <c r="E606" s="3" t="str">
        <f>Table1[[#This Row],[Calling Node]]&amp;" -&gt; "&amp;Table1[[#This Row],[Called Node]]</f>
        <v>test_upload_non_COUNTER_reports -&gt; prepare_HTML_page_for_comparison</v>
      </c>
      <c r="F606">
        <f>VLOOKUP(Table1[[#This Row],[Calling Node]],Nodes!A:D,4,0)</f>
        <v>30</v>
      </c>
      <c r="G606">
        <f>VLOOKUP(Table1[[#This Row],[Calling Node]],Nodes!A:E,5,0)</f>
        <v>8</v>
      </c>
      <c r="H606">
        <f>VLOOKUP(Table1[[#This Row],[Called Node]],Nodes!A:D,4,0)</f>
        <v>25</v>
      </c>
      <c r="I606">
        <f>VLOOKUP(Table1[[#This Row],[Called Node]],Nodes!A:E,5,0)</f>
        <v>43</v>
      </c>
    </row>
    <row r="607" spans="1:9" x14ac:dyDescent="0.3">
      <c r="A607" t="s">
        <v>314</v>
      </c>
      <c r="B607" t="str">
        <f>VLOOKUP(Table1[[#This Row],[Calling Node]],Nodes!A:B,2,0)</f>
        <v>blank_annualUsageCollectionTracking_data_types</v>
      </c>
      <c r="C607" t="s">
        <v>462</v>
      </c>
      <c r="D607" s="2" t="str">
        <f>VLOOKUP(Table1[[#This Row],[Called Node]],Nodes!A:B,2,0)</f>
        <v>state_data_types</v>
      </c>
      <c r="E607" s="3" t="str">
        <f>Table1[[#This Row],[Calling Node]]&amp;" -&gt; "&amp;Table1[[#This Row],[Called Node]]</f>
        <v>blank_annualUsageCollectionTracking_data_types -&gt; state_data_types_in_FiscalYears</v>
      </c>
      <c r="F607">
        <f>VLOOKUP(Table1[[#This Row],[Calling Node]],Nodes!A:D,4,0)</f>
        <v>31</v>
      </c>
      <c r="G607">
        <f>VLOOKUP(Table1[[#This Row],[Calling Node]],Nodes!A:E,5,0)</f>
        <v>1</v>
      </c>
      <c r="H607">
        <f>VLOOKUP(Table1[[#This Row],[Called Node]],Nodes!A:D,4,0)</f>
        <v>2</v>
      </c>
      <c r="I607">
        <f>VLOOKUP(Table1[[#This Row],[Called Node]],Nodes!A:E,5,0)</f>
        <v>1</v>
      </c>
    </row>
    <row r="608" spans="1:9" x14ac:dyDescent="0.3">
      <c r="A608" t="s">
        <v>314</v>
      </c>
      <c r="B608" t="str">
        <f>VLOOKUP(Table1[[#This Row],[Calling Node]],Nodes!A:B,2,0)</f>
        <v>blank_annualUsageCollectionTracking_data_types</v>
      </c>
      <c r="C608" t="s">
        <v>31</v>
      </c>
      <c r="D608" s="2" t="str">
        <f>VLOOKUP(Table1[[#This Row],[Called Node]],Nodes!A:B,2,0)</f>
        <v>state_data_types</v>
      </c>
      <c r="E608" s="3" t="str">
        <f>Table1[[#This Row],[Calling Node]]&amp;" -&gt; "&amp;Table1[[#This Row],[Called Node]]</f>
        <v>blank_annualUsageCollectionTracking_data_types -&gt; state_data_types_in_statisticsSources</v>
      </c>
      <c r="F608">
        <f>VLOOKUP(Table1[[#This Row],[Calling Node]],Nodes!A:D,4,0)</f>
        <v>31</v>
      </c>
      <c r="G608">
        <f>VLOOKUP(Table1[[#This Row],[Calling Node]],Nodes!A:E,5,0)</f>
        <v>1</v>
      </c>
      <c r="H608">
        <f>VLOOKUP(Table1[[#This Row],[Called Node]],Nodes!A:D,4,0)</f>
        <v>6</v>
      </c>
      <c r="I608">
        <f>VLOOKUP(Table1[[#This Row],[Called Node]],Nodes!A:E,5,0)</f>
        <v>1</v>
      </c>
    </row>
    <row r="609" spans="1:9" x14ac:dyDescent="0.3">
      <c r="A609" t="s">
        <v>314</v>
      </c>
      <c r="B609" t="str">
        <f>VLOOKUP(Table1[[#This Row],[Calling Node]],Nodes!A:B,2,0)</f>
        <v>blank_annualUsageCollectionTracking_data_types</v>
      </c>
      <c r="C609" t="s">
        <v>50</v>
      </c>
      <c r="D609" s="2" t="str">
        <f>VLOOKUP(Table1[[#This Row],[Called Node]],Nodes!A:B,2,0)</f>
        <v>state_data_types</v>
      </c>
      <c r="E609" s="3" t="str">
        <f>Table1[[#This Row],[Calling Node]]&amp;" -&gt; "&amp;Table1[[#This Row],[Called Node]]</f>
        <v>blank_annualUsageCollectionTracking_data_types -&gt; state_data_types_in_annualUsageCollectionTracking</v>
      </c>
      <c r="F609">
        <f>VLOOKUP(Table1[[#This Row],[Calling Node]],Nodes!A:D,4,0)</f>
        <v>31</v>
      </c>
      <c r="G609">
        <f>VLOOKUP(Table1[[#This Row],[Calling Node]],Nodes!A:E,5,0)</f>
        <v>1</v>
      </c>
      <c r="H609">
        <f>VLOOKUP(Table1[[#This Row],[Called Node]],Nodes!A:D,4,0)</f>
        <v>11</v>
      </c>
      <c r="I609">
        <f>VLOOKUP(Table1[[#This Row],[Called Node]],Nodes!A:E,5,0)</f>
        <v>1</v>
      </c>
    </row>
    <row r="610" spans="1:9" x14ac:dyDescent="0.3">
      <c r="A610" t="s">
        <v>315</v>
      </c>
      <c r="B610" t="str">
        <f>VLOOKUP(Table1[[#This Row],[Calling Node]],Nodes!A:B,2,0)</f>
        <v>create_fiscalYears_CSV_file</v>
      </c>
      <c r="C610" t="s">
        <v>220</v>
      </c>
      <c r="D610" s="2" t="str">
        <f>VLOOKUP(Table1[[#This Row],[Called Node]],Nodes!A:B,2,0)</f>
        <v>fiscalYears_relation</v>
      </c>
      <c r="E610" s="3" t="str">
        <f>Table1[[#This Row],[Calling Node]]&amp;" -&gt; "&amp;Table1[[#This Row],[Called Node]]</f>
        <v>create_fiscalYears_CSV_file -&gt; fiscalYears_relation_in_conftest</v>
      </c>
      <c r="F610">
        <f>VLOOKUP(Table1[[#This Row],[Calling Node]],Nodes!A:D,4,0)</f>
        <v>31</v>
      </c>
      <c r="G610">
        <f>VLOOKUP(Table1[[#This Row],[Calling Node]],Nodes!A:E,5,0)</f>
        <v>2</v>
      </c>
      <c r="H610">
        <f>VLOOKUP(Table1[[#This Row],[Called Node]],Nodes!A:D,4,0)</f>
        <v>25</v>
      </c>
      <c r="I610">
        <f>VLOOKUP(Table1[[#This Row],[Called Node]],Nodes!A:E,5,0)</f>
        <v>6</v>
      </c>
    </row>
    <row r="611" spans="1:9" x14ac:dyDescent="0.3">
      <c r="A611" t="s">
        <v>316</v>
      </c>
      <c r="B611" t="str">
        <f>VLOOKUP(Table1[[#This Row],[Calling Node]],Nodes!A:B,2,0)</f>
        <v>create_annualStatistics_CSV_file</v>
      </c>
      <c r="C611" t="s">
        <v>221</v>
      </c>
      <c r="D611" s="2" t="str">
        <f>VLOOKUP(Table1[[#This Row],[Called Node]],Nodes!A:B,2,0)</f>
        <v>annualStatistics_relation</v>
      </c>
      <c r="E611" s="3" t="str">
        <f>Table1[[#This Row],[Calling Node]]&amp;" -&gt; "&amp;Table1[[#This Row],[Called Node]]</f>
        <v>create_annualStatistics_CSV_file -&gt; annualStatistics_relation_in_conftest</v>
      </c>
      <c r="F611">
        <f>VLOOKUP(Table1[[#This Row],[Calling Node]],Nodes!A:D,4,0)</f>
        <v>31</v>
      </c>
      <c r="G611">
        <f>VLOOKUP(Table1[[#This Row],[Calling Node]],Nodes!A:E,5,0)</f>
        <v>3</v>
      </c>
      <c r="H611">
        <f>VLOOKUP(Table1[[#This Row],[Called Node]],Nodes!A:D,4,0)</f>
        <v>25</v>
      </c>
      <c r="I611">
        <f>VLOOKUP(Table1[[#This Row],[Called Node]],Nodes!A:E,5,0)</f>
        <v>7</v>
      </c>
    </row>
    <row r="612" spans="1:9" x14ac:dyDescent="0.3">
      <c r="A612" t="s">
        <v>317</v>
      </c>
      <c r="B612" t="str">
        <f>VLOOKUP(Table1[[#This Row],[Calling Node]],Nodes!A:B,2,0)</f>
        <v>create_vendors_CSV_file</v>
      </c>
      <c r="C612" t="s">
        <v>222</v>
      </c>
      <c r="D612" s="2" t="str">
        <f>VLOOKUP(Table1[[#This Row],[Called Node]],Nodes!A:B,2,0)</f>
        <v>vendors_relation</v>
      </c>
      <c r="E612" s="3" t="str">
        <f>Table1[[#This Row],[Calling Node]]&amp;" -&gt; "&amp;Table1[[#This Row],[Called Node]]</f>
        <v>create_vendors_CSV_file -&gt; vendors_relation_in_conftest</v>
      </c>
      <c r="F612">
        <f>VLOOKUP(Table1[[#This Row],[Calling Node]],Nodes!A:D,4,0)</f>
        <v>31</v>
      </c>
      <c r="G612">
        <f>VLOOKUP(Table1[[#This Row],[Calling Node]],Nodes!A:E,5,0)</f>
        <v>4</v>
      </c>
      <c r="H612">
        <f>VLOOKUP(Table1[[#This Row],[Called Node]],Nodes!A:D,4,0)</f>
        <v>25</v>
      </c>
      <c r="I612">
        <f>VLOOKUP(Table1[[#This Row],[Called Node]],Nodes!A:E,5,0)</f>
        <v>8</v>
      </c>
    </row>
    <row r="613" spans="1:9" x14ac:dyDescent="0.3">
      <c r="A613" t="s">
        <v>318</v>
      </c>
      <c r="B613" t="str">
        <f>VLOOKUP(Table1[[#This Row],[Calling Node]],Nodes!A:B,2,0)</f>
        <v>create_vendorNotes_CSV_file</v>
      </c>
      <c r="C613" t="s">
        <v>223</v>
      </c>
      <c r="D613" s="2" t="str">
        <f>VLOOKUP(Table1[[#This Row],[Called Node]],Nodes!A:B,2,0)</f>
        <v>vendorNotes_relation</v>
      </c>
      <c r="E613" s="3" t="str">
        <f>Table1[[#This Row],[Calling Node]]&amp;" -&gt; "&amp;Table1[[#This Row],[Called Node]]</f>
        <v>create_vendorNotes_CSV_file -&gt; vendorNotes_relation_in_conftest</v>
      </c>
      <c r="F613">
        <f>VLOOKUP(Table1[[#This Row],[Calling Node]],Nodes!A:D,4,0)</f>
        <v>31</v>
      </c>
      <c r="G613">
        <f>VLOOKUP(Table1[[#This Row],[Calling Node]],Nodes!A:E,5,0)</f>
        <v>5</v>
      </c>
      <c r="H613">
        <f>VLOOKUP(Table1[[#This Row],[Called Node]],Nodes!A:D,4,0)</f>
        <v>25</v>
      </c>
      <c r="I613">
        <f>VLOOKUP(Table1[[#This Row],[Called Node]],Nodes!A:E,5,0)</f>
        <v>9</v>
      </c>
    </row>
    <row r="614" spans="1:9" x14ac:dyDescent="0.3">
      <c r="A614" t="s">
        <v>319</v>
      </c>
      <c r="B614" t="str">
        <f>VLOOKUP(Table1[[#This Row],[Calling Node]],Nodes!A:B,2,0)</f>
        <v>create_statisticsSources_CSV_file</v>
      </c>
      <c r="C614" t="s">
        <v>224</v>
      </c>
      <c r="D614" s="2" t="str">
        <f>VLOOKUP(Table1[[#This Row],[Called Node]],Nodes!A:B,2,0)</f>
        <v>statisticsSources_relation</v>
      </c>
      <c r="E614" s="3" t="str">
        <f>Table1[[#This Row],[Calling Node]]&amp;" -&gt; "&amp;Table1[[#This Row],[Called Node]]</f>
        <v>create_statisticsSources_CSV_file -&gt; statisticsSources_relation_in_conftest</v>
      </c>
      <c r="F614">
        <f>VLOOKUP(Table1[[#This Row],[Calling Node]],Nodes!A:D,4,0)</f>
        <v>31</v>
      </c>
      <c r="G614">
        <f>VLOOKUP(Table1[[#This Row],[Calling Node]],Nodes!A:E,5,0)</f>
        <v>6</v>
      </c>
      <c r="H614">
        <f>VLOOKUP(Table1[[#This Row],[Called Node]],Nodes!A:D,4,0)</f>
        <v>25</v>
      </c>
      <c r="I614">
        <f>VLOOKUP(Table1[[#This Row],[Called Node]],Nodes!A:E,5,0)</f>
        <v>10</v>
      </c>
    </row>
    <row r="615" spans="1:9" x14ac:dyDescent="0.3">
      <c r="A615" t="s">
        <v>320</v>
      </c>
      <c r="B615" t="str">
        <f>VLOOKUP(Table1[[#This Row],[Calling Node]],Nodes!A:B,2,0)</f>
        <v>create_statisticsSourceNotes_CSV_file</v>
      </c>
      <c r="C615" t="s">
        <v>225</v>
      </c>
      <c r="D615" s="2" t="str">
        <f>VLOOKUP(Table1[[#This Row],[Called Node]],Nodes!A:B,2,0)</f>
        <v>statisticsSourceNotes_relation</v>
      </c>
      <c r="E615" s="3" t="str">
        <f>Table1[[#This Row],[Calling Node]]&amp;" -&gt; "&amp;Table1[[#This Row],[Called Node]]</f>
        <v>create_statisticsSourceNotes_CSV_file -&gt; statisticsSourceNotes_relation_in_conftest</v>
      </c>
      <c r="F615">
        <f>VLOOKUP(Table1[[#This Row],[Calling Node]],Nodes!A:D,4,0)</f>
        <v>31</v>
      </c>
      <c r="G615">
        <f>VLOOKUP(Table1[[#This Row],[Calling Node]],Nodes!A:E,5,0)</f>
        <v>7</v>
      </c>
      <c r="H615">
        <f>VLOOKUP(Table1[[#This Row],[Called Node]],Nodes!A:D,4,0)</f>
        <v>25</v>
      </c>
      <c r="I615">
        <f>VLOOKUP(Table1[[#This Row],[Called Node]],Nodes!A:E,5,0)</f>
        <v>11</v>
      </c>
    </row>
    <row r="616" spans="1:9" x14ac:dyDescent="0.3">
      <c r="A616" t="s">
        <v>321</v>
      </c>
      <c r="B616" t="str">
        <f>VLOOKUP(Table1[[#This Row],[Calling Node]],Nodes!A:B,2,0)</f>
        <v>create_resourceSources_CSV_file</v>
      </c>
      <c r="C616" t="s">
        <v>226</v>
      </c>
      <c r="D616" s="2" t="str">
        <f>VLOOKUP(Table1[[#This Row],[Called Node]],Nodes!A:B,2,0)</f>
        <v>resourceSources_relation</v>
      </c>
      <c r="E616" s="3" t="str">
        <f>Table1[[#This Row],[Calling Node]]&amp;" -&gt; "&amp;Table1[[#This Row],[Called Node]]</f>
        <v>create_resourceSources_CSV_file -&gt; resourceSources_relation_in_conftest</v>
      </c>
      <c r="F616">
        <f>VLOOKUP(Table1[[#This Row],[Calling Node]],Nodes!A:D,4,0)</f>
        <v>31</v>
      </c>
      <c r="G616">
        <f>VLOOKUP(Table1[[#This Row],[Calling Node]],Nodes!A:E,5,0)</f>
        <v>8</v>
      </c>
      <c r="H616">
        <f>VLOOKUP(Table1[[#This Row],[Called Node]],Nodes!A:D,4,0)</f>
        <v>25</v>
      </c>
      <c r="I616">
        <f>VLOOKUP(Table1[[#This Row],[Called Node]],Nodes!A:E,5,0)</f>
        <v>12</v>
      </c>
    </row>
    <row r="617" spans="1:9" x14ac:dyDescent="0.3">
      <c r="A617" t="s">
        <v>322</v>
      </c>
      <c r="B617" t="str">
        <f>VLOOKUP(Table1[[#This Row],[Calling Node]],Nodes!A:B,2,0)</f>
        <v>create_resourceSourceNotes_CSV_file</v>
      </c>
      <c r="C617" t="s">
        <v>227</v>
      </c>
      <c r="D617" s="2" t="str">
        <f>VLOOKUP(Table1[[#This Row],[Called Node]],Nodes!A:B,2,0)</f>
        <v>resourceSourceNotes_relation</v>
      </c>
      <c r="E617" s="3" t="str">
        <f>Table1[[#This Row],[Calling Node]]&amp;" -&gt; "&amp;Table1[[#This Row],[Called Node]]</f>
        <v>create_resourceSourceNotes_CSV_file -&gt; resourceSourceNotes_relation_in_conftest</v>
      </c>
      <c r="F617">
        <f>VLOOKUP(Table1[[#This Row],[Calling Node]],Nodes!A:D,4,0)</f>
        <v>31</v>
      </c>
      <c r="G617">
        <f>VLOOKUP(Table1[[#This Row],[Calling Node]],Nodes!A:E,5,0)</f>
        <v>9</v>
      </c>
      <c r="H617">
        <f>VLOOKUP(Table1[[#This Row],[Called Node]],Nodes!A:D,4,0)</f>
        <v>25</v>
      </c>
      <c r="I617">
        <f>VLOOKUP(Table1[[#This Row],[Called Node]],Nodes!A:E,5,0)</f>
        <v>13</v>
      </c>
    </row>
    <row r="618" spans="1:9" x14ac:dyDescent="0.3">
      <c r="A618" t="s">
        <v>323</v>
      </c>
      <c r="B618" t="str">
        <f>VLOOKUP(Table1[[#This Row],[Calling Node]],Nodes!A:B,2,0)</f>
        <v>create_statisticsResourceSources_CSV_file</v>
      </c>
      <c r="C618" t="s">
        <v>228</v>
      </c>
      <c r="D618" s="2" t="str">
        <f>VLOOKUP(Table1[[#This Row],[Called Node]],Nodes!A:B,2,0)</f>
        <v>statisticsResourceSources_relation</v>
      </c>
      <c r="E618" s="3" t="str">
        <f>Table1[[#This Row],[Calling Node]]&amp;" -&gt; "&amp;Table1[[#This Row],[Called Node]]</f>
        <v>create_statisticsResourceSources_CSV_file -&gt; statisticsResourceSources_relation_in_conftest</v>
      </c>
      <c r="F618">
        <f>VLOOKUP(Table1[[#This Row],[Calling Node]],Nodes!A:D,4,0)</f>
        <v>31</v>
      </c>
      <c r="G618">
        <f>VLOOKUP(Table1[[#This Row],[Calling Node]],Nodes!A:E,5,0)</f>
        <v>10</v>
      </c>
      <c r="H618">
        <f>VLOOKUP(Table1[[#This Row],[Called Node]],Nodes!A:D,4,0)</f>
        <v>25</v>
      </c>
      <c r="I618">
        <f>VLOOKUP(Table1[[#This Row],[Called Node]],Nodes!A:E,5,0)</f>
        <v>14</v>
      </c>
    </row>
    <row r="619" spans="1:9" x14ac:dyDescent="0.3">
      <c r="A619" t="s">
        <v>324</v>
      </c>
      <c r="B619" t="str">
        <f>VLOOKUP(Table1[[#This Row],[Calling Node]],Nodes!A:B,2,0)</f>
        <v>create_blank_annualUsageCollectionTracking_CSV_file</v>
      </c>
      <c r="C619" t="s">
        <v>314</v>
      </c>
      <c r="D619" t="str">
        <f>VLOOKUP(Table1[[#This Row],[Called Node]],Nodes!A:B,2,0)</f>
        <v>blank_annualUsageCollectionTracking_data_types</v>
      </c>
      <c r="E619" s="3" t="str">
        <f>Table1[[#This Row],[Calling Node]]&amp;" -&gt; "&amp;Table1[[#This Row],[Called Node]]</f>
        <v>create_blank_annualUsageCollectionTracking_CSV_file -&gt; blank_annualUsageCollectionTracking_data_types</v>
      </c>
      <c r="F619">
        <f>VLOOKUP(Table1[[#This Row],[Calling Node]],Nodes!A:D,4,0)</f>
        <v>31</v>
      </c>
      <c r="G619">
        <f>VLOOKUP(Table1[[#This Row],[Calling Node]],Nodes!A:E,5,0)</f>
        <v>11</v>
      </c>
      <c r="H619">
        <f>VLOOKUP(Table1[[#This Row],[Called Node]],Nodes!A:D,4,0)</f>
        <v>31</v>
      </c>
      <c r="I619">
        <f>VLOOKUP(Table1[[#This Row],[Called Node]],Nodes!A:E,5,0)</f>
        <v>1</v>
      </c>
    </row>
    <row r="620" spans="1:9" x14ac:dyDescent="0.3">
      <c r="A620" t="s">
        <v>325</v>
      </c>
      <c r="B620" t="str">
        <f>VLOOKUP(Table1[[#This Row],[Calling Node]],Nodes!A:B,2,0)</f>
        <v>create_annualUsageCollectionTracking_CSV_file</v>
      </c>
      <c r="C620" t="s">
        <v>229</v>
      </c>
      <c r="D620" s="2" t="str">
        <f>VLOOKUP(Table1[[#This Row],[Called Node]],Nodes!A:B,2,0)</f>
        <v>annualUsageCollectionTracking_relation</v>
      </c>
      <c r="E620" s="3" t="str">
        <f>Table1[[#This Row],[Calling Node]]&amp;" -&gt; "&amp;Table1[[#This Row],[Called Node]]</f>
        <v>create_annualUsageCollectionTracking_CSV_file -&gt; annualUsageCollectionTracking_relation_in_conftest</v>
      </c>
      <c r="F620">
        <f>VLOOKUP(Table1[[#This Row],[Calling Node]],Nodes!A:D,4,0)</f>
        <v>31</v>
      </c>
      <c r="G620">
        <f>VLOOKUP(Table1[[#This Row],[Calling Node]],Nodes!A:E,5,0)</f>
        <v>12</v>
      </c>
      <c r="H620">
        <f>VLOOKUP(Table1[[#This Row],[Called Node]],Nodes!A:D,4,0)</f>
        <v>25</v>
      </c>
      <c r="I620">
        <f>VLOOKUP(Table1[[#This Row],[Called Node]],Nodes!A:E,5,0)</f>
        <v>15</v>
      </c>
    </row>
    <row r="621" spans="1:9" x14ac:dyDescent="0.3">
      <c r="A621" t="s">
        <v>326</v>
      </c>
      <c r="B621" t="str">
        <f>VLOOKUP(Table1[[#This Row],[Calling Node]],Nodes!A:B,2,0)</f>
        <v>test_GET_request_for_collect_FY_and_vendor_data</v>
      </c>
      <c r="C621" t="s">
        <v>81</v>
      </c>
      <c r="D621" t="str">
        <f>VLOOKUP(Table1[[#This Row],[Called Node]],Nodes!A:B,2,0)</f>
        <v>collect_FY_and_vendor_data</v>
      </c>
      <c r="E621" s="3" t="str">
        <f>Table1[[#This Row],[Calling Node]]&amp;" -&gt; "&amp;Table1[[#This Row],[Called Node]]</f>
        <v>test_GET_request_for_collect_FY_and_vendor_data -&gt; collect_FY_and_vendor_data</v>
      </c>
      <c r="F621">
        <f>VLOOKUP(Table1[[#This Row],[Calling Node]],Nodes!A:D,4,0)</f>
        <v>31</v>
      </c>
      <c r="G621">
        <f>VLOOKUP(Table1[[#This Row],[Calling Node]],Nodes!A:E,5,0)</f>
        <v>13</v>
      </c>
      <c r="H621">
        <f>VLOOKUP(Table1[[#This Row],[Called Node]],Nodes!A:D,4,0)</f>
        <v>18</v>
      </c>
      <c r="I621">
        <f>VLOOKUP(Table1[[#This Row],[Called Node]],Nodes!A:E,5,0)</f>
        <v>1</v>
      </c>
    </row>
    <row r="622" spans="1:9" x14ac:dyDescent="0.3">
      <c r="A622" t="s">
        <v>326</v>
      </c>
      <c r="B622" t="str">
        <f>VLOOKUP(Table1[[#This Row],[Calling Node]],Nodes!A:B,2,0)</f>
        <v>test_GET_request_for_collect_FY_and_vendor_data</v>
      </c>
      <c r="C622" t="s">
        <v>217</v>
      </c>
      <c r="D622" t="str">
        <f>VLOOKUP(Table1[[#This Row],[Called Node]],Nodes!A:B,2,0)</f>
        <v>client</v>
      </c>
      <c r="E622" s="3" t="str">
        <f>Table1[[#This Row],[Calling Node]]&amp;" -&gt; "&amp;Table1[[#This Row],[Called Node]]</f>
        <v>test_GET_request_for_collect_FY_and_vendor_data -&gt; client</v>
      </c>
      <c r="F622">
        <f>VLOOKUP(Table1[[#This Row],[Calling Node]],Nodes!A:D,4,0)</f>
        <v>31</v>
      </c>
      <c r="G622">
        <f>VLOOKUP(Table1[[#This Row],[Calling Node]],Nodes!A:E,5,0)</f>
        <v>13</v>
      </c>
      <c r="H622">
        <f>VLOOKUP(Table1[[#This Row],[Called Node]],Nodes!A:D,4,0)</f>
        <v>25</v>
      </c>
      <c r="I622">
        <f>VLOOKUP(Table1[[#This Row],[Called Node]],Nodes!A:E,5,0)</f>
        <v>3</v>
      </c>
    </row>
    <row r="623" spans="1:9" x14ac:dyDescent="0.3">
      <c r="A623" t="s">
        <v>327</v>
      </c>
      <c r="B623" t="str">
        <f>VLOOKUP(Table1[[#This Row],[Calling Node]],Nodes!A:B,2,0)</f>
        <v>test_collect_FY_and_vendor_data</v>
      </c>
      <c r="C623" t="s">
        <v>462</v>
      </c>
      <c r="D623" s="2" t="str">
        <f>VLOOKUP(Table1[[#This Row],[Called Node]],Nodes!A:B,2,0)</f>
        <v>state_data_types</v>
      </c>
      <c r="E623" s="3" t="str">
        <f>Table1[[#This Row],[Calling Node]]&amp;" -&gt; "&amp;Table1[[#This Row],[Called Node]]</f>
        <v>test_collect_FY_and_vendor_data -&gt; state_data_types_in_FiscalYears</v>
      </c>
      <c r="F623">
        <f>VLOOKUP(Table1[[#This Row],[Calling Node]],Nodes!A:D,4,0)</f>
        <v>31</v>
      </c>
      <c r="G623">
        <f>VLOOKUP(Table1[[#This Row],[Calling Node]],Nodes!A:E,5,0)</f>
        <v>14</v>
      </c>
      <c r="H623">
        <f>VLOOKUP(Table1[[#This Row],[Called Node]],Nodes!A:D,4,0)</f>
        <v>2</v>
      </c>
      <c r="I623">
        <f>VLOOKUP(Table1[[#This Row],[Called Node]],Nodes!A:E,5,0)</f>
        <v>1</v>
      </c>
    </row>
    <row r="624" spans="1:9" x14ac:dyDescent="0.3">
      <c r="A624" t="s">
        <v>327</v>
      </c>
      <c r="B624" t="str">
        <f>VLOOKUP(Table1[[#This Row],[Calling Node]],Nodes!A:B,2,0)</f>
        <v>test_collect_FY_and_vendor_data</v>
      </c>
      <c r="C624" t="s">
        <v>19</v>
      </c>
      <c r="D624" s="2" t="str">
        <f>VLOOKUP(Table1[[#This Row],[Called Node]],Nodes!A:B,2,0)</f>
        <v>state_data_types</v>
      </c>
      <c r="E624" s="3" t="str">
        <f>Table1[[#This Row],[Calling Node]]&amp;" -&gt; "&amp;Table1[[#This Row],[Called Node]]</f>
        <v>test_collect_FY_and_vendor_data -&gt; state_data_types_in_annualStatistics</v>
      </c>
      <c r="F624">
        <f>VLOOKUP(Table1[[#This Row],[Calling Node]],Nodes!A:D,4,0)</f>
        <v>31</v>
      </c>
      <c r="G624">
        <f>VLOOKUP(Table1[[#This Row],[Calling Node]],Nodes!A:E,5,0)</f>
        <v>14</v>
      </c>
      <c r="H624">
        <f>VLOOKUP(Table1[[#This Row],[Called Node]],Nodes!A:D,4,0)</f>
        <v>3</v>
      </c>
      <c r="I624">
        <f>VLOOKUP(Table1[[#This Row],[Called Node]],Nodes!A:E,5,0)</f>
        <v>1</v>
      </c>
    </row>
    <row r="625" spans="1:9" x14ac:dyDescent="0.3">
      <c r="A625" t="s">
        <v>327</v>
      </c>
      <c r="B625" t="str">
        <f>VLOOKUP(Table1[[#This Row],[Calling Node]],Nodes!A:B,2,0)</f>
        <v>test_collect_FY_and_vendor_data</v>
      </c>
      <c r="C625" t="s">
        <v>23</v>
      </c>
      <c r="D625" s="2" t="str">
        <f>VLOOKUP(Table1[[#This Row],[Called Node]],Nodes!A:B,2,0)</f>
        <v>state_data_types</v>
      </c>
      <c r="E625" s="3" t="str">
        <f>Table1[[#This Row],[Calling Node]]&amp;" -&gt; "&amp;Table1[[#This Row],[Called Node]]</f>
        <v>test_collect_FY_and_vendor_data -&gt; state_data_types_in_vendors</v>
      </c>
      <c r="F625">
        <f>VLOOKUP(Table1[[#This Row],[Calling Node]],Nodes!A:D,4,0)</f>
        <v>31</v>
      </c>
      <c r="G625">
        <f>VLOOKUP(Table1[[#This Row],[Calling Node]],Nodes!A:E,5,0)</f>
        <v>14</v>
      </c>
      <c r="H625">
        <f>VLOOKUP(Table1[[#This Row],[Called Node]],Nodes!A:D,4,0)</f>
        <v>4</v>
      </c>
      <c r="I625">
        <f>VLOOKUP(Table1[[#This Row],[Called Node]],Nodes!A:E,5,0)</f>
        <v>1</v>
      </c>
    </row>
    <row r="626" spans="1:9" x14ac:dyDescent="0.3">
      <c r="A626" t="s">
        <v>327</v>
      </c>
      <c r="B626" t="str">
        <f>VLOOKUP(Table1[[#This Row],[Calling Node]],Nodes!A:B,2,0)</f>
        <v>test_collect_FY_and_vendor_data</v>
      </c>
      <c r="C626" t="s">
        <v>29</v>
      </c>
      <c r="D626" s="2" t="str">
        <f>VLOOKUP(Table1[[#This Row],[Called Node]],Nodes!A:B,2,0)</f>
        <v>state_data_types</v>
      </c>
      <c r="E626" s="3" t="str">
        <f>Table1[[#This Row],[Calling Node]]&amp;" -&gt; "&amp;Table1[[#This Row],[Called Node]]</f>
        <v>test_collect_FY_and_vendor_data -&gt; state_data_types_in_vendorNotes</v>
      </c>
      <c r="F626">
        <f>VLOOKUP(Table1[[#This Row],[Calling Node]],Nodes!A:D,4,0)</f>
        <v>31</v>
      </c>
      <c r="G626">
        <f>VLOOKUP(Table1[[#This Row],[Calling Node]],Nodes!A:E,5,0)</f>
        <v>14</v>
      </c>
      <c r="H626">
        <f>VLOOKUP(Table1[[#This Row],[Called Node]],Nodes!A:D,4,0)</f>
        <v>5</v>
      </c>
      <c r="I626">
        <f>VLOOKUP(Table1[[#This Row],[Called Node]],Nodes!A:E,5,0)</f>
        <v>1</v>
      </c>
    </row>
    <row r="627" spans="1:9" x14ac:dyDescent="0.3">
      <c r="A627" t="s">
        <v>327</v>
      </c>
      <c r="B627" t="str">
        <f>VLOOKUP(Table1[[#This Row],[Calling Node]],Nodes!A:B,2,0)</f>
        <v>test_collect_FY_and_vendor_data</v>
      </c>
      <c r="C627" t="s">
        <v>81</v>
      </c>
      <c r="D627" t="str">
        <f>VLOOKUP(Table1[[#This Row],[Called Node]],Nodes!A:B,2,0)</f>
        <v>collect_FY_and_vendor_data</v>
      </c>
      <c r="E627" s="3" t="str">
        <f>Table1[[#This Row],[Calling Node]]&amp;" -&gt; "&amp;Table1[[#This Row],[Called Node]]</f>
        <v>test_collect_FY_and_vendor_data -&gt; collect_FY_and_vendor_data</v>
      </c>
      <c r="F627">
        <f>VLOOKUP(Table1[[#This Row],[Calling Node]],Nodes!A:D,4,0)</f>
        <v>31</v>
      </c>
      <c r="G627">
        <f>VLOOKUP(Table1[[#This Row],[Calling Node]],Nodes!A:E,5,0)</f>
        <v>14</v>
      </c>
      <c r="H627">
        <f>VLOOKUP(Table1[[#This Row],[Called Node]],Nodes!A:D,4,0)</f>
        <v>18</v>
      </c>
      <c r="I627">
        <f>VLOOKUP(Table1[[#This Row],[Called Node]],Nodes!A:E,5,0)</f>
        <v>1</v>
      </c>
    </row>
    <row r="628" spans="1:9" x14ac:dyDescent="0.3">
      <c r="A628" t="s">
        <v>327</v>
      </c>
      <c r="B628" t="str">
        <f>VLOOKUP(Table1[[#This Row],[Calling Node]],Nodes!A:B,2,0)</f>
        <v>test_collect_FY_and_vendor_data</v>
      </c>
      <c r="C628" t="s">
        <v>118</v>
      </c>
      <c r="D628" t="str">
        <f>VLOOKUP(Table1[[#This Row],[Called Node]],Nodes!A:B,2,0)</f>
        <v>change_single_field_dataframe_into_series</v>
      </c>
      <c r="E628" s="3" t="str">
        <f>Table1[[#This Row],[Calling Node]]&amp;" -&gt; "&amp;Table1[[#This Row],[Called Node]]</f>
        <v>test_collect_FY_and_vendor_data -&gt; change_single_field_dataframe_into_series</v>
      </c>
      <c r="F628">
        <f>VLOOKUP(Table1[[#This Row],[Calling Node]],Nodes!A:D,4,0)</f>
        <v>31</v>
      </c>
      <c r="G628">
        <f>VLOOKUP(Table1[[#This Row],[Calling Node]],Nodes!A:E,5,0)</f>
        <v>14</v>
      </c>
      <c r="H628">
        <f>VLOOKUP(Table1[[#This Row],[Called Node]],Nodes!A:D,4,0)</f>
        <v>22</v>
      </c>
      <c r="I628">
        <f>VLOOKUP(Table1[[#This Row],[Called Node]],Nodes!A:E,5,0)</f>
        <v>12</v>
      </c>
    </row>
    <row r="629" spans="1:9" x14ac:dyDescent="0.3">
      <c r="A629" t="s">
        <v>327</v>
      </c>
      <c r="B629" t="str">
        <f>VLOOKUP(Table1[[#This Row],[Calling Node]],Nodes!A:B,2,0)</f>
        <v>test_collect_FY_and_vendor_data</v>
      </c>
      <c r="C629" t="s">
        <v>123</v>
      </c>
      <c r="D629" t="str">
        <f>VLOOKUP(Table1[[#This Row],[Called Node]],Nodes!A:B,2,0)</f>
        <v>query_database</v>
      </c>
      <c r="E629" s="3" t="str">
        <f>Table1[[#This Row],[Calling Node]]&amp;" -&gt; "&amp;Table1[[#This Row],[Called Node]]</f>
        <v>test_collect_FY_and_vendor_data -&gt; query_database</v>
      </c>
      <c r="F629">
        <f>VLOOKUP(Table1[[#This Row],[Calling Node]],Nodes!A:D,4,0)</f>
        <v>31</v>
      </c>
      <c r="G629">
        <f>VLOOKUP(Table1[[#This Row],[Calling Node]],Nodes!A:E,5,0)</f>
        <v>14</v>
      </c>
      <c r="H629">
        <f>VLOOKUP(Table1[[#This Row],[Called Node]],Nodes!A:D,4,0)</f>
        <v>22</v>
      </c>
      <c r="I629">
        <f>VLOOKUP(Table1[[#This Row],[Called Node]],Nodes!A:E,5,0)</f>
        <v>17</v>
      </c>
    </row>
    <row r="630" spans="1:9" x14ac:dyDescent="0.3">
      <c r="A630" t="s">
        <v>327</v>
      </c>
      <c r="B630" t="str">
        <f>VLOOKUP(Table1[[#This Row],[Calling Node]],Nodes!A:B,2,0)</f>
        <v>test_collect_FY_and_vendor_data</v>
      </c>
      <c r="C630" t="s">
        <v>155</v>
      </c>
      <c r="D630" t="str">
        <f>VLOOKUP(Table1[[#This Row],[Called Node]],Nodes!A:B,2,0)</f>
        <v>database_function_skip_statements</v>
      </c>
      <c r="E630" s="3" t="str">
        <f>Table1[[#This Row],[Calling Node]]&amp;" -&gt; "&amp;Table1[[#This Row],[Called Node]]</f>
        <v>test_collect_FY_and_vendor_data -&gt; database_function_skip_statements</v>
      </c>
      <c r="F630">
        <f>VLOOKUP(Table1[[#This Row],[Calling Node]],Nodes!A:D,4,0)</f>
        <v>31</v>
      </c>
      <c r="G630">
        <f>VLOOKUP(Table1[[#This Row],[Calling Node]],Nodes!A:E,5,0)</f>
        <v>14</v>
      </c>
      <c r="H630">
        <f>VLOOKUP(Table1[[#This Row],[Called Node]],Nodes!A:D,4,0)</f>
        <v>23</v>
      </c>
      <c r="I630">
        <f>VLOOKUP(Table1[[#This Row],[Called Node]],Nodes!A:E,5,0)</f>
        <v>21</v>
      </c>
    </row>
    <row r="631" spans="1:9" x14ac:dyDescent="0.3">
      <c r="A631" t="s">
        <v>327</v>
      </c>
      <c r="B631" t="str">
        <f>VLOOKUP(Table1[[#This Row],[Calling Node]],Nodes!A:B,2,0)</f>
        <v>test_collect_FY_and_vendor_data</v>
      </c>
      <c r="C631" t="s">
        <v>215</v>
      </c>
      <c r="D631" t="str">
        <f>VLOOKUP(Table1[[#This Row],[Called Node]],Nodes!A:B,2,0)</f>
        <v>engine</v>
      </c>
      <c r="E631" s="3" t="str">
        <f>Table1[[#This Row],[Calling Node]]&amp;" -&gt; "&amp;Table1[[#This Row],[Called Node]]</f>
        <v>test_collect_FY_and_vendor_data -&gt; engine</v>
      </c>
      <c r="F631">
        <f>VLOOKUP(Table1[[#This Row],[Calling Node]],Nodes!A:D,4,0)</f>
        <v>31</v>
      </c>
      <c r="G631">
        <f>VLOOKUP(Table1[[#This Row],[Calling Node]],Nodes!A:E,5,0)</f>
        <v>14</v>
      </c>
      <c r="H631">
        <f>VLOOKUP(Table1[[#This Row],[Called Node]],Nodes!A:D,4,0)</f>
        <v>25</v>
      </c>
      <c r="I631">
        <f>VLOOKUP(Table1[[#This Row],[Called Node]],Nodes!A:E,5,0)</f>
        <v>1</v>
      </c>
    </row>
    <row r="632" spans="1:9" x14ac:dyDescent="0.3">
      <c r="A632" t="s">
        <v>327</v>
      </c>
      <c r="B632" t="str">
        <f>VLOOKUP(Table1[[#This Row],[Calling Node]],Nodes!A:B,2,0)</f>
        <v>test_collect_FY_and_vendor_data</v>
      </c>
      <c r="C632" t="s">
        <v>217</v>
      </c>
      <c r="D632" t="str">
        <f>VLOOKUP(Table1[[#This Row],[Called Node]],Nodes!A:B,2,0)</f>
        <v>client</v>
      </c>
      <c r="E632" s="3" t="str">
        <f>Table1[[#This Row],[Calling Node]]&amp;" -&gt; "&amp;Table1[[#This Row],[Called Node]]</f>
        <v>test_collect_FY_and_vendor_data -&gt; client</v>
      </c>
      <c r="F632">
        <f>VLOOKUP(Table1[[#This Row],[Calling Node]],Nodes!A:D,4,0)</f>
        <v>31</v>
      </c>
      <c r="G632">
        <f>VLOOKUP(Table1[[#This Row],[Calling Node]],Nodes!A:E,5,0)</f>
        <v>14</v>
      </c>
      <c r="H632">
        <f>VLOOKUP(Table1[[#This Row],[Called Node]],Nodes!A:D,4,0)</f>
        <v>25</v>
      </c>
      <c r="I632">
        <f>VLOOKUP(Table1[[#This Row],[Called Node]],Nodes!A:E,5,0)</f>
        <v>3</v>
      </c>
    </row>
    <row r="633" spans="1:9" x14ac:dyDescent="0.3">
      <c r="A633" t="s">
        <v>327</v>
      </c>
      <c r="B633" t="str">
        <f>VLOOKUP(Table1[[#This Row],[Calling Node]],Nodes!A:B,2,0)</f>
        <v>test_collect_FY_and_vendor_data</v>
      </c>
      <c r="C633" t="s">
        <v>220</v>
      </c>
      <c r="D633" s="2" t="str">
        <f>VLOOKUP(Table1[[#This Row],[Called Node]],Nodes!A:B,2,0)</f>
        <v>fiscalYears_relation</v>
      </c>
      <c r="E633" s="3" t="str">
        <f>Table1[[#This Row],[Calling Node]]&amp;" -&gt; "&amp;Table1[[#This Row],[Called Node]]</f>
        <v>test_collect_FY_and_vendor_data -&gt; fiscalYears_relation_in_conftest</v>
      </c>
      <c r="F633">
        <f>VLOOKUP(Table1[[#This Row],[Calling Node]],Nodes!A:D,4,0)</f>
        <v>31</v>
      </c>
      <c r="G633">
        <f>VLOOKUP(Table1[[#This Row],[Calling Node]],Nodes!A:E,5,0)</f>
        <v>14</v>
      </c>
      <c r="H633">
        <f>VLOOKUP(Table1[[#This Row],[Called Node]],Nodes!A:D,4,0)</f>
        <v>25</v>
      </c>
      <c r="I633">
        <f>VLOOKUP(Table1[[#This Row],[Called Node]],Nodes!A:E,5,0)</f>
        <v>6</v>
      </c>
    </row>
    <row r="634" spans="1:9" x14ac:dyDescent="0.3">
      <c r="A634" t="s">
        <v>327</v>
      </c>
      <c r="B634" t="str">
        <f>VLOOKUP(Table1[[#This Row],[Calling Node]],Nodes!A:B,2,0)</f>
        <v>test_collect_FY_and_vendor_data</v>
      </c>
      <c r="C634" t="s">
        <v>221</v>
      </c>
      <c r="D634" s="2" t="str">
        <f>VLOOKUP(Table1[[#This Row],[Called Node]],Nodes!A:B,2,0)</f>
        <v>annualStatistics_relation</v>
      </c>
      <c r="E634" s="3" t="str">
        <f>Table1[[#This Row],[Calling Node]]&amp;" -&gt; "&amp;Table1[[#This Row],[Called Node]]</f>
        <v>test_collect_FY_and_vendor_data -&gt; annualStatistics_relation_in_conftest</v>
      </c>
      <c r="F634">
        <f>VLOOKUP(Table1[[#This Row],[Calling Node]],Nodes!A:D,4,0)</f>
        <v>31</v>
      </c>
      <c r="G634">
        <f>VLOOKUP(Table1[[#This Row],[Calling Node]],Nodes!A:E,5,0)</f>
        <v>14</v>
      </c>
      <c r="H634">
        <f>VLOOKUP(Table1[[#This Row],[Called Node]],Nodes!A:D,4,0)</f>
        <v>25</v>
      </c>
      <c r="I634">
        <f>VLOOKUP(Table1[[#This Row],[Called Node]],Nodes!A:E,5,0)</f>
        <v>7</v>
      </c>
    </row>
    <row r="635" spans="1:9" x14ac:dyDescent="0.3">
      <c r="A635" t="s">
        <v>327</v>
      </c>
      <c r="B635" t="str">
        <f>VLOOKUP(Table1[[#This Row],[Calling Node]],Nodes!A:B,2,0)</f>
        <v>test_collect_FY_and_vendor_data</v>
      </c>
      <c r="C635" t="s">
        <v>222</v>
      </c>
      <c r="D635" s="2" t="str">
        <f>VLOOKUP(Table1[[#This Row],[Called Node]],Nodes!A:B,2,0)</f>
        <v>vendors_relation</v>
      </c>
      <c r="E635" s="3" t="str">
        <f>Table1[[#This Row],[Calling Node]]&amp;" -&gt; "&amp;Table1[[#This Row],[Called Node]]</f>
        <v>test_collect_FY_and_vendor_data -&gt; vendors_relation_in_conftest</v>
      </c>
      <c r="F635">
        <f>VLOOKUP(Table1[[#This Row],[Calling Node]],Nodes!A:D,4,0)</f>
        <v>31</v>
      </c>
      <c r="G635">
        <f>VLOOKUP(Table1[[#This Row],[Calling Node]],Nodes!A:E,5,0)</f>
        <v>14</v>
      </c>
      <c r="H635">
        <f>VLOOKUP(Table1[[#This Row],[Called Node]],Nodes!A:D,4,0)</f>
        <v>25</v>
      </c>
      <c r="I635">
        <f>VLOOKUP(Table1[[#This Row],[Called Node]],Nodes!A:E,5,0)</f>
        <v>8</v>
      </c>
    </row>
    <row r="636" spans="1:9" x14ac:dyDescent="0.3">
      <c r="A636" t="s">
        <v>327</v>
      </c>
      <c r="B636" t="str">
        <f>VLOOKUP(Table1[[#This Row],[Calling Node]],Nodes!A:B,2,0)</f>
        <v>test_collect_FY_and_vendor_data</v>
      </c>
      <c r="C636" t="s">
        <v>223</v>
      </c>
      <c r="D636" s="2" t="str">
        <f>VLOOKUP(Table1[[#This Row],[Called Node]],Nodes!A:B,2,0)</f>
        <v>vendorNotes_relation</v>
      </c>
      <c r="E636" s="3" t="str">
        <f>Table1[[#This Row],[Calling Node]]&amp;" -&gt; "&amp;Table1[[#This Row],[Called Node]]</f>
        <v>test_collect_FY_and_vendor_data -&gt; vendorNotes_relation_in_conftest</v>
      </c>
      <c r="F636">
        <f>VLOOKUP(Table1[[#This Row],[Calling Node]],Nodes!A:D,4,0)</f>
        <v>31</v>
      </c>
      <c r="G636">
        <f>VLOOKUP(Table1[[#This Row],[Calling Node]],Nodes!A:E,5,0)</f>
        <v>14</v>
      </c>
      <c r="H636">
        <f>VLOOKUP(Table1[[#This Row],[Called Node]],Nodes!A:D,4,0)</f>
        <v>25</v>
      </c>
      <c r="I636">
        <f>VLOOKUP(Table1[[#This Row],[Called Node]],Nodes!A:E,5,0)</f>
        <v>9</v>
      </c>
    </row>
    <row r="637" spans="1:9" x14ac:dyDescent="0.3">
      <c r="A637" t="s">
        <v>327</v>
      </c>
      <c r="B637" t="str">
        <f>VLOOKUP(Table1[[#This Row],[Calling Node]],Nodes!A:B,2,0)</f>
        <v>test_collect_FY_and_vendor_data</v>
      </c>
      <c r="C637" t="s">
        <v>253</v>
      </c>
      <c r="D637" t="str">
        <f>VLOOKUP(Table1[[#This Row],[Called Node]],Nodes!A:B,2,0)</f>
        <v>header_value</v>
      </c>
      <c r="E637" s="3" t="str">
        <f>Table1[[#This Row],[Calling Node]]&amp;" -&gt; "&amp;Table1[[#This Row],[Called Node]]</f>
        <v>test_collect_FY_and_vendor_data -&gt; header_value</v>
      </c>
      <c r="F637">
        <f>VLOOKUP(Table1[[#This Row],[Calling Node]],Nodes!A:D,4,0)</f>
        <v>31</v>
      </c>
      <c r="G637">
        <f>VLOOKUP(Table1[[#This Row],[Calling Node]],Nodes!A:E,5,0)</f>
        <v>14</v>
      </c>
      <c r="H637">
        <f>VLOOKUP(Table1[[#This Row],[Called Node]],Nodes!A:D,4,0)</f>
        <v>25</v>
      </c>
      <c r="I637">
        <f>VLOOKUP(Table1[[#This Row],[Called Node]],Nodes!A:E,5,0)</f>
        <v>39</v>
      </c>
    </row>
    <row r="638" spans="1:9" x14ac:dyDescent="0.3">
      <c r="A638" t="s">
        <v>328</v>
      </c>
      <c r="B638" t="str">
        <f>VLOOKUP(Table1[[#This Row],[Calling Node]],Nodes!A:B,2,0)</f>
        <v>test_collect_sources_data</v>
      </c>
      <c r="C638" t="s">
        <v>31</v>
      </c>
      <c r="D638" s="2" t="str">
        <f>VLOOKUP(Table1[[#This Row],[Called Node]],Nodes!A:B,2,0)</f>
        <v>state_data_types</v>
      </c>
      <c r="E638" s="3" t="str">
        <f>Table1[[#This Row],[Calling Node]]&amp;" -&gt; "&amp;Table1[[#This Row],[Called Node]]</f>
        <v>test_collect_sources_data -&gt; state_data_types_in_statisticsSources</v>
      </c>
      <c r="F638">
        <f>VLOOKUP(Table1[[#This Row],[Calling Node]],Nodes!A:D,4,0)</f>
        <v>31</v>
      </c>
      <c r="G638">
        <f>VLOOKUP(Table1[[#This Row],[Calling Node]],Nodes!A:E,5,0)</f>
        <v>15</v>
      </c>
      <c r="H638">
        <f>VLOOKUP(Table1[[#This Row],[Called Node]],Nodes!A:D,4,0)</f>
        <v>6</v>
      </c>
      <c r="I638">
        <f>VLOOKUP(Table1[[#This Row],[Called Node]],Nodes!A:E,5,0)</f>
        <v>1</v>
      </c>
    </row>
    <row r="639" spans="1:9" x14ac:dyDescent="0.3">
      <c r="A639" t="s">
        <v>328</v>
      </c>
      <c r="B639" t="str">
        <f>VLOOKUP(Table1[[#This Row],[Calling Node]],Nodes!A:B,2,0)</f>
        <v>test_collect_sources_data</v>
      </c>
      <c r="C639" t="s">
        <v>38</v>
      </c>
      <c r="D639" s="2" t="str">
        <f>VLOOKUP(Table1[[#This Row],[Called Node]],Nodes!A:B,2,0)</f>
        <v>state_data_types</v>
      </c>
      <c r="E639" s="3" t="str">
        <f>Table1[[#This Row],[Calling Node]]&amp;" -&gt; "&amp;Table1[[#This Row],[Called Node]]</f>
        <v>test_collect_sources_data -&gt; state_data_types_in_statisticsSourceNotes</v>
      </c>
      <c r="F639">
        <f>VLOOKUP(Table1[[#This Row],[Calling Node]],Nodes!A:D,4,0)</f>
        <v>31</v>
      </c>
      <c r="G639">
        <f>VLOOKUP(Table1[[#This Row],[Calling Node]],Nodes!A:E,5,0)</f>
        <v>15</v>
      </c>
      <c r="H639">
        <f>VLOOKUP(Table1[[#This Row],[Called Node]],Nodes!A:D,4,0)</f>
        <v>7</v>
      </c>
      <c r="I639">
        <f>VLOOKUP(Table1[[#This Row],[Called Node]],Nodes!A:E,5,0)</f>
        <v>1</v>
      </c>
    </row>
    <row r="640" spans="1:9" x14ac:dyDescent="0.3">
      <c r="A640" t="s">
        <v>328</v>
      </c>
      <c r="B640" t="str">
        <f>VLOOKUP(Table1[[#This Row],[Calling Node]],Nodes!A:B,2,0)</f>
        <v>test_collect_sources_data</v>
      </c>
      <c r="C640" t="s">
        <v>40</v>
      </c>
      <c r="D640" s="2" t="str">
        <f>VLOOKUP(Table1[[#This Row],[Called Node]],Nodes!A:B,2,0)</f>
        <v>state_data_types</v>
      </c>
      <c r="E640" s="3" t="str">
        <f>Table1[[#This Row],[Calling Node]]&amp;" -&gt; "&amp;Table1[[#This Row],[Called Node]]</f>
        <v>test_collect_sources_data -&gt; state_data_types_in_resourceSources</v>
      </c>
      <c r="F640">
        <f>VLOOKUP(Table1[[#This Row],[Calling Node]],Nodes!A:D,4,0)</f>
        <v>31</v>
      </c>
      <c r="G640">
        <f>VLOOKUP(Table1[[#This Row],[Calling Node]],Nodes!A:E,5,0)</f>
        <v>15</v>
      </c>
      <c r="H640">
        <f>VLOOKUP(Table1[[#This Row],[Called Node]],Nodes!A:D,4,0)</f>
        <v>8</v>
      </c>
      <c r="I640">
        <f>VLOOKUP(Table1[[#This Row],[Called Node]],Nodes!A:E,5,0)</f>
        <v>1</v>
      </c>
    </row>
    <row r="641" spans="1:9" x14ac:dyDescent="0.3">
      <c r="A641" t="s">
        <v>328</v>
      </c>
      <c r="B641" t="str">
        <f>VLOOKUP(Table1[[#This Row],[Calling Node]],Nodes!A:B,2,0)</f>
        <v>test_collect_sources_data</v>
      </c>
      <c r="C641" t="s">
        <v>46</v>
      </c>
      <c r="D641" s="2" t="str">
        <f>VLOOKUP(Table1[[#This Row],[Called Node]],Nodes!A:B,2,0)</f>
        <v>state_data_types</v>
      </c>
      <c r="E641" s="3" t="str">
        <f>Table1[[#This Row],[Calling Node]]&amp;" -&gt; "&amp;Table1[[#This Row],[Called Node]]</f>
        <v>test_collect_sources_data -&gt; state_data_types_in_resourceSourceNotes</v>
      </c>
      <c r="F641">
        <f>VLOOKUP(Table1[[#This Row],[Calling Node]],Nodes!A:D,4,0)</f>
        <v>31</v>
      </c>
      <c r="G641">
        <f>VLOOKUP(Table1[[#This Row],[Calling Node]],Nodes!A:E,5,0)</f>
        <v>15</v>
      </c>
      <c r="H641">
        <f>VLOOKUP(Table1[[#This Row],[Called Node]],Nodes!A:D,4,0)</f>
        <v>9</v>
      </c>
      <c r="I641">
        <f>VLOOKUP(Table1[[#This Row],[Called Node]],Nodes!A:E,5,0)</f>
        <v>1</v>
      </c>
    </row>
    <row r="642" spans="1:9" x14ac:dyDescent="0.3">
      <c r="A642" t="s">
        <v>328</v>
      </c>
      <c r="B642" t="str">
        <f>VLOOKUP(Table1[[#This Row],[Calling Node]],Nodes!A:B,2,0)</f>
        <v>test_collect_sources_data</v>
      </c>
      <c r="C642" t="s">
        <v>48</v>
      </c>
      <c r="D642" s="2" t="str">
        <f>VLOOKUP(Table1[[#This Row],[Called Node]],Nodes!A:B,2,0)</f>
        <v>state_data_types</v>
      </c>
      <c r="E642" s="3" t="str">
        <f>Table1[[#This Row],[Calling Node]]&amp;" -&gt; "&amp;Table1[[#This Row],[Called Node]]</f>
        <v>test_collect_sources_data -&gt; state_data_types_in_statisticsResourceSources</v>
      </c>
      <c r="F642">
        <f>VLOOKUP(Table1[[#This Row],[Calling Node]],Nodes!A:D,4,0)</f>
        <v>31</v>
      </c>
      <c r="G642">
        <f>VLOOKUP(Table1[[#This Row],[Calling Node]],Nodes!A:E,5,0)</f>
        <v>15</v>
      </c>
      <c r="H642">
        <f>VLOOKUP(Table1[[#This Row],[Called Node]],Nodes!A:D,4,0)</f>
        <v>10</v>
      </c>
      <c r="I642">
        <f>VLOOKUP(Table1[[#This Row],[Called Node]],Nodes!A:E,5,0)</f>
        <v>1</v>
      </c>
    </row>
    <row r="643" spans="1:9" x14ac:dyDescent="0.3">
      <c r="A643" t="s">
        <v>328</v>
      </c>
      <c r="B643" t="str">
        <f>VLOOKUP(Table1[[#This Row],[Calling Node]],Nodes!A:B,2,0)</f>
        <v>test_collect_sources_data</v>
      </c>
      <c r="C643" t="s">
        <v>82</v>
      </c>
      <c r="D643" t="str">
        <f>VLOOKUP(Table1[[#This Row],[Called Node]],Nodes!A:B,2,0)</f>
        <v>collect_sources_data</v>
      </c>
      <c r="E643" s="3" t="str">
        <f>Table1[[#This Row],[Calling Node]]&amp;" -&gt; "&amp;Table1[[#This Row],[Called Node]]</f>
        <v>test_collect_sources_data -&gt; collect_sources_data</v>
      </c>
      <c r="F643">
        <f>VLOOKUP(Table1[[#This Row],[Calling Node]],Nodes!A:D,4,0)</f>
        <v>31</v>
      </c>
      <c r="G643">
        <f>VLOOKUP(Table1[[#This Row],[Calling Node]],Nodes!A:E,5,0)</f>
        <v>15</v>
      </c>
      <c r="H643">
        <f>VLOOKUP(Table1[[#This Row],[Called Node]],Nodes!A:D,4,0)</f>
        <v>18</v>
      </c>
      <c r="I643">
        <f>VLOOKUP(Table1[[#This Row],[Called Node]],Nodes!A:E,5,0)</f>
        <v>2</v>
      </c>
    </row>
    <row r="644" spans="1:9" x14ac:dyDescent="0.3">
      <c r="A644" t="s">
        <v>328</v>
      </c>
      <c r="B644" t="str">
        <f>VLOOKUP(Table1[[#This Row],[Calling Node]],Nodes!A:B,2,0)</f>
        <v>test_collect_sources_data</v>
      </c>
      <c r="C644" t="s">
        <v>118</v>
      </c>
      <c r="D644" t="str">
        <f>VLOOKUP(Table1[[#This Row],[Called Node]],Nodes!A:B,2,0)</f>
        <v>change_single_field_dataframe_into_series</v>
      </c>
      <c r="E644" s="3" t="str">
        <f>Table1[[#This Row],[Calling Node]]&amp;" -&gt; "&amp;Table1[[#This Row],[Called Node]]</f>
        <v>test_collect_sources_data -&gt; change_single_field_dataframe_into_series</v>
      </c>
      <c r="F644">
        <f>VLOOKUP(Table1[[#This Row],[Calling Node]],Nodes!A:D,4,0)</f>
        <v>31</v>
      </c>
      <c r="G644">
        <f>VLOOKUP(Table1[[#This Row],[Calling Node]],Nodes!A:E,5,0)</f>
        <v>15</v>
      </c>
      <c r="H644">
        <f>VLOOKUP(Table1[[#This Row],[Called Node]],Nodes!A:D,4,0)</f>
        <v>22</v>
      </c>
      <c r="I644">
        <f>VLOOKUP(Table1[[#This Row],[Called Node]],Nodes!A:E,5,0)</f>
        <v>12</v>
      </c>
    </row>
    <row r="645" spans="1:9" x14ac:dyDescent="0.3">
      <c r="A645" t="s">
        <v>328</v>
      </c>
      <c r="B645" t="str">
        <f>VLOOKUP(Table1[[#This Row],[Calling Node]],Nodes!A:B,2,0)</f>
        <v>test_collect_sources_data</v>
      </c>
      <c r="C645" t="s">
        <v>123</v>
      </c>
      <c r="D645" t="str">
        <f>VLOOKUP(Table1[[#This Row],[Called Node]],Nodes!A:B,2,0)</f>
        <v>query_database</v>
      </c>
      <c r="E645" s="3" t="str">
        <f>Table1[[#This Row],[Calling Node]]&amp;" -&gt; "&amp;Table1[[#This Row],[Called Node]]</f>
        <v>test_collect_sources_data -&gt; query_database</v>
      </c>
      <c r="F645">
        <f>VLOOKUP(Table1[[#This Row],[Calling Node]],Nodes!A:D,4,0)</f>
        <v>31</v>
      </c>
      <c r="G645">
        <f>VLOOKUP(Table1[[#This Row],[Calling Node]],Nodes!A:E,5,0)</f>
        <v>15</v>
      </c>
      <c r="H645">
        <f>VLOOKUP(Table1[[#This Row],[Called Node]],Nodes!A:D,4,0)</f>
        <v>22</v>
      </c>
      <c r="I645">
        <f>VLOOKUP(Table1[[#This Row],[Called Node]],Nodes!A:E,5,0)</f>
        <v>17</v>
      </c>
    </row>
    <row r="646" spans="1:9" x14ac:dyDescent="0.3">
      <c r="A646" t="s">
        <v>328</v>
      </c>
      <c r="B646" t="str">
        <f>VLOOKUP(Table1[[#This Row],[Calling Node]],Nodes!A:B,2,0)</f>
        <v>test_collect_sources_data</v>
      </c>
      <c r="C646" t="s">
        <v>155</v>
      </c>
      <c r="D646" t="str">
        <f>VLOOKUP(Table1[[#This Row],[Called Node]],Nodes!A:B,2,0)</f>
        <v>database_function_skip_statements</v>
      </c>
      <c r="E646" s="3" t="str">
        <f>Table1[[#This Row],[Calling Node]]&amp;" -&gt; "&amp;Table1[[#This Row],[Called Node]]</f>
        <v>test_collect_sources_data -&gt; database_function_skip_statements</v>
      </c>
      <c r="F646">
        <f>VLOOKUP(Table1[[#This Row],[Calling Node]],Nodes!A:D,4,0)</f>
        <v>31</v>
      </c>
      <c r="G646">
        <f>VLOOKUP(Table1[[#This Row],[Calling Node]],Nodes!A:E,5,0)</f>
        <v>15</v>
      </c>
      <c r="H646">
        <f>VLOOKUP(Table1[[#This Row],[Called Node]],Nodes!A:D,4,0)</f>
        <v>23</v>
      </c>
      <c r="I646">
        <f>VLOOKUP(Table1[[#This Row],[Called Node]],Nodes!A:E,5,0)</f>
        <v>21</v>
      </c>
    </row>
    <row r="647" spans="1:9" x14ac:dyDescent="0.3">
      <c r="A647" t="s">
        <v>328</v>
      </c>
      <c r="B647" t="str">
        <f>VLOOKUP(Table1[[#This Row],[Calling Node]],Nodes!A:B,2,0)</f>
        <v>test_collect_sources_data</v>
      </c>
      <c r="C647" t="s">
        <v>215</v>
      </c>
      <c r="D647" t="str">
        <f>VLOOKUP(Table1[[#This Row],[Called Node]],Nodes!A:B,2,0)</f>
        <v>engine</v>
      </c>
      <c r="E647" s="3" t="str">
        <f>Table1[[#This Row],[Calling Node]]&amp;" -&gt; "&amp;Table1[[#This Row],[Called Node]]</f>
        <v>test_collect_sources_data -&gt; engine</v>
      </c>
      <c r="F647">
        <f>VLOOKUP(Table1[[#This Row],[Calling Node]],Nodes!A:D,4,0)</f>
        <v>31</v>
      </c>
      <c r="G647">
        <f>VLOOKUP(Table1[[#This Row],[Calling Node]],Nodes!A:E,5,0)</f>
        <v>15</v>
      </c>
      <c r="H647">
        <f>VLOOKUP(Table1[[#This Row],[Called Node]],Nodes!A:D,4,0)</f>
        <v>25</v>
      </c>
      <c r="I647">
        <f>VLOOKUP(Table1[[#This Row],[Called Node]],Nodes!A:E,5,0)</f>
        <v>1</v>
      </c>
    </row>
    <row r="648" spans="1:9" x14ac:dyDescent="0.3">
      <c r="A648" t="s">
        <v>328</v>
      </c>
      <c r="B648" t="str">
        <f>VLOOKUP(Table1[[#This Row],[Calling Node]],Nodes!A:B,2,0)</f>
        <v>test_collect_sources_data</v>
      </c>
      <c r="C648" t="s">
        <v>217</v>
      </c>
      <c r="D648" t="str">
        <f>VLOOKUP(Table1[[#This Row],[Called Node]],Nodes!A:B,2,0)</f>
        <v>client</v>
      </c>
      <c r="E648" s="3" t="str">
        <f>Table1[[#This Row],[Calling Node]]&amp;" -&gt; "&amp;Table1[[#This Row],[Called Node]]</f>
        <v>test_collect_sources_data -&gt; client</v>
      </c>
      <c r="F648">
        <f>VLOOKUP(Table1[[#This Row],[Calling Node]],Nodes!A:D,4,0)</f>
        <v>31</v>
      </c>
      <c r="G648">
        <f>VLOOKUP(Table1[[#This Row],[Calling Node]],Nodes!A:E,5,0)</f>
        <v>15</v>
      </c>
      <c r="H648">
        <f>VLOOKUP(Table1[[#This Row],[Called Node]],Nodes!A:D,4,0)</f>
        <v>25</v>
      </c>
      <c r="I648">
        <f>VLOOKUP(Table1[[#This Row],[Called Node]],Nodes!A:E,5,0)</f>
        <v>3</v>
      </c>
    </row>
    <row r="649" spans="1:9" x14ac:dyDescent="0.3">
      <c r="A649" t="s">
        <v>328</v>
      </c>
      <c r="B649" t="str">
        <f>VLOOKUP(Table1[[#This Row],[Calling Node]],Nodes!A:B,2,0)</f>
        <v>test_collect_sources_data</v>
      </c>
      <c r="C649" t="s">
        <v>224</v>
      </c>
      <c r="D649" s="2" t="str">
        <f>VLOOKUP(Table1[[#This Row],[Called Node]],Nodes!A:B,2,0)</f>
        <v>statisticsSources_relation</v>
      </c>
      <c r="E649" s="3" t="str">
        <f>Table1[[#This Row],[Calling Node]]&amp;" -&gt; "&amp;Table1[[#This Row],[Called Node]]</f>
        <v>test_collect_sources_data -&gt; statisticsSources_relation_in_conftest</v>
      </c>
      <c r="F649">
        <f>VLOOKUP(Table1[[#This Row],[Calling Node]],Nodes!A:D,4,0)</f>
        <v>31</v>
      </c>
      <c r="G649">
        <f>VLOOKUP(Table1[[#This Row],[Calling Node]],Nodes!A:E,5,0)</f>
        <v>15</v>
      </c>
      <c r="H649">
        <f>VLOOKUP(Table1[[#This Row],[Called Node]],Nodes!A:D,4,0)</f>
        <v>25</v>
      </c>
      <c r="I649">
        <f>VLOOKUP(Table1[[#This Row],[Called Node]],Nodes!A:E,5,0)</f>
        <v>10</v>
      </c>
    </row>
    <row r="650" spans="1:9" x14ac:dyDescent="0.3">
      <c r="A650" t="s">
        <v>328</v>
      </c>
      <c r="B650" t="str">
        <f>VLOOKUP(Table1[[#This Row],[Calling Node]],Nodes!A:B,2,0)</f>
        <v>test_collect_sources_data</v>
      </c>
      <c r="C650" t="s">
        <v>225</v>
      </c>
      <c r="D650" s="2" t="str">
        <f>VLOOKUP(Table1[[#This Row],[Called Node]],Nodes!A:B,2,0)</f>
        <v>statisticsSourceNotes_relation</v>
      </c>
      <c r="E650" s="3" t="str">
        <f>Table1[[#This Row],[Calling Node]]&amp;" -&gt; "&amp;Table1[[#This Row],[Called Node]]</f>
        <v>test_collect_sources_data -&gt; statisticsSourceNotes_relation_in_conftest</v>
      </c>
      <c r="F650">
        <f>VLOOKUP(Table1[[#This Row],[Calling Node]],Nodes!A:D,4,0)</f>
        <v>31</v>
      </c>
      <c r="G650">
        <f>VLOOKUP(Table1[[#This Row],[Calling Node]],Nodes!A:E,5,0)</f>
        <v>15</v>
      </c>
      <c r="H650">
        <f>VLOOKUP(Table1[[#This Row],[Called Node]],Nodes!A:D,4,0)</f>
        <v>25</v>
      </c>
      <c r="I650">
        <f>VLOOKUP(Table1[[#This Row],[Called Node]],Nodes!A:E,5,0)</f>
        <v>11</v>
      </c>
    </row>
    <row r="651" spans="1:9" x14ac:dyDescent="0.3">
      <c r="A651" t="s">
        <v>328</v>
      </c>
      <c r="B651" t="str">
        <f>VLOOKUP(Table1[[#This Row],[Calling Node]],Nodes!A:B,2,0)</f>
        <v>test_collect_sources_data</v>
      </c>
      <c r="C651" t="s">
        <v>226</v>
      </c>
      <c r="D651" s="2" t="str">
        <f>VLOOKUP(Table1[[#This Row],[Called Node]],Nodes!A:B,2,0)</f>
        <v>resourceSources_relation</v>
      </c>
      <c r="E651" s="3" t="str">
        <f>Table1[[#This Row],[Calling Node]]&amp;" -&gt; "&amp;Table1[[#This Row],[Called Node]]</f>
        <v>test_collect_sources_data -&gt; resourceSources_relation_in_conftest</v>
      </c>
      <c r="F651">
        <f>VLOOKUP(Table1[[#This Row],[Calling Node]],Nodes!A:D,4,0)</f>
        <v>31</v>
      </c>
      <c r="G651">
        <f>VLOOKUP(Table1[[#This Row],[Calling Node]],Nodes!A:E,5,0)</f>
        <v>15</v>
      </c>
      <c r="H651">
        <f>VLOOKUP(Table1[[#This Row],[Called Node]],Nodes!A:D,4,0)</f>
        <v>25</v>
      </c>
      <c r="I651">
        <f>VLOOKUP(Table1[[#This Row],[Called Node]],Nodes!A:E,5,0)</f>
        <v>12</v>
      </c>
    </row>
    <row r="652" spans="1:9" x14ac:dyDescent="0.3">
      <c r="A652" t="s">
        <v>328</v>
      </c>
      <c r="B652" t="str">
        <f>VLOOKUP(Table1[[#This Row],[Calling Node]],Nodes!A:B,2,0)</f>
        <v>test_collect_sources_data</v>
      </c>
      <c r="C652" t="s">
        <v>227</v>
      </c>
      <c r="D652" s="2" t="str">
        <f>VLOOKUP(Table1[[#This Row],[Called Node]],Nodes!A:B,2,0)</f>
        <v>resourceSourceNotes_relation</v>
      </c>
      <c r="E652" s="3" t="str">
        <f>Table1[[#This Row],[Calling Node]]&amp;" -&gt; "&amp;Table1[[#This Row],[Called Node]]</f>
        <v>test_collect_sources_data -&gt; resourceSourceNotes_relation_in_conftest</v>
      </c>
      <c r="F652">
        <f>VLOOKUP(Table1[[#This Row],[Calling Node]],Nodes!A:D,4,0)</f>
        <v>31</v>
      </c>
      <c r="G652">
        <f>VLOOKUP(Table1[[#This Row],[Calling Node]],Nodes!A:E,5,0)</f>
        <v>15</v>
      </c>
      <c r="H652">
        <f>VLOOKUP(Table1[[#This Row],[Called Node]],Nodes!A:D,4,0)</f>
        <v>25</v>
      </c>
      <c r="I652">
        <f>VLOOKUP(Table1[[#This Row],[Called Node]],Nodes!A:E,5,0)</f>
        <v>13</v>
      </c>
    </row>
    <row r="653" spans="1:9" x14ac:dyDescent="0.3">
      <c r="A653" t="s">
        <v>328</v>
      </c>
      <c r="B653" t="str">
        <f>VLOOKUP(Table1[[#This Row],[Calling Node]],Nodes!A:B,2,0)</f>
        <v>test_collect_sources_data</v>
      </c>
      <c r="C653" t="s">
        <v>228</v>
      </c>
      <c r="D653" s="2" t="str">
        <f>VLOOKUP(Table1[[#This Row],[Called Node]],Nodes!A:B,2,0)</f>
        <v>statisticsResourceSources_relation</v>
      </c>
      <c r="E653" s="3" t="str">
        <f>Table1[[#This Row],[Calling Node]]&amp;" -&gt; "&amp;Table1[[#This Row],[Called Node]]</f>
        <v>test_collect_sources_data -&gt; statisticsResourceSources_relation_in_conftest</v>
      </c>
      <c r="F653">
        <f>VLOOKUP(Table1[[#This Row],[Calling Node]],Nodes!A:D,4,0)</f>
        <v>31</v>
      </c>
      <c r="G653">
        <f>VLOOKUP(Table1[[#This Row],[Calling Node]],Nodes!A:E,5,0)</f>
        <v>15</v>
      </c>
      <c r="H653">
        <f>VLOOKUP(Table1[[#This Row],[Called Node]],Nodes!A:D,4,0)</f>
        <v>25</v>
      </c>
      <c r="I653">
        <f>VLOOKUP(Table1[[#This Row],[Called Node]],Nodes!A:E,5,0)</f>
        <v>14</v>
      </c>
    </row>
    <row r="654" spans="1:9" x14ac:dyDescent="0.3">
      <c r="A654" t="s">
        <v>328</v>
      </c>
      <c r="B654" t="str">
        <f>VLOOKUP(Table1[[#This Row],[Calling Node]],Nodes!A:B,2,0)</f>
        <v>test_collect_sources_data</v>
      </c>
      <c r="C654" t="s">
        <v>253</v>
      </c>
      <c r="D654" t="str">
        <f>VLOOKUP(Table1[[#This Row],[Called Node]],Nodes!A:B,2,0)</f>
        <v>header_value</v>
      </c>
      <c r="E654" s="3" t="str">
        <f>Table1[[#This Row],[Calling Node]]&amp;" -&gt; "&amp;Table1[[#This Row],[Called Node]]</f>
        <v>test_collect_sources_data -&gt; header_value</v>
      </c>
      <c r="F654">
        <f>VLOOKUP(Table1[[#This Row],[Calling Node]],Nodes!A:D,4,0)</f>
        <v>31</v>
      </c>
      <c r="G654">
        <f>VLOOKUP(Table1[[#This Row],[Calling Node]],Nodes!A:E,5,0)</f>
        <v>15</v>
      </c>
      <c r="H654">
        <f>VLOOKUP(Table1[[#This Row],[Called Node]],Nodes!A:D,4,0)</f>
        <v>25</v>
      </c>
      <c r="I654">
        <f>VLOOKUP(Table1[[#This Row],[Called Node]],Nodes!A:E,5,0)</f>
        <v>39</v>
      </c>
    </row>
    <row r="655" spans="1:9" x14ac:dyDescent="0.3">
      <c r="A655" t="s">
        <v>329</v>
      </c>
      <c r="B655" t="str">
        <f>VLOOKUP(Table1[[#This Row],[Calling Node]],Nodes!A:B,2,0)</f>
        <v>test_GET_request_for_collect_AUCT_and_historical_COUNTER_data</v>
      </c>
      <c r="C655" t="s">
        <v>83</v>
      </c>
      <c r="D655" t="str">
        <f>VLOOKUP(Table1[[#This Row],[Called Node]],Nodes!A:B,2,0)</f>
        <v>collect_AUCT_and_historical_COUNTER_data</v>
      </c>
      <c r="E655" s="3" t="str">
        <f>Table1[[#This Row],[Calling Node]]&amp;" -&gt; "&amp;Table1[[#This Row],[Called Node]]</f>
        <v>test_GET_request_for_collect_AUCT_and_historical_COUNTER_data -&gt; collect_AUCT_and_historical_COUNTER_data</v>
      </c>
      <c r="F655">
        <f>VLOOKUP(Table1[[#This Row],[Calling Node]],Nodes!A:D,4,0)</f>
        <v>31</v>
      </c>
      <c r="G655">
        <f>VLOOKUP(Table1[[#This Row],[Calling Node]],Nodes!A:E,5,0)</f>
        <v>16</v>
      </c>
      <c r="H655">
        <f>VLOOKUP(Table1[[#This Row],[Called Node]],Nodes!A:D,4,0)</f>
        <v>18</v>
      </c>
      <c r="I655">
        <f>VLOOKUP(Table1[[#This Row],[Called Node]],Nodes!A:E,5,0)</f>
        <v>3</v>
      </c>
    </row>
    <row r="656" spans="1:9" x14ac:dyDescent="0.3">
      <c r="A656" t="s">
        <v>329</v>
      </c>
      <c r="B656" t="str">
        <f>VLOOKUP(Table1[[#This Row],[Calling Node]],Nodes!A:B,2,0)</f>
        <v>test_GET_request_for_collect_AUCT_and_historical_COUNTER_data</v>
      </c>
      <c r="C656" t="s">
        <v>217</v>
      </c>
      <c r="D656" t="str">
        <f>VLOOKUP(Table1[[#This Row],[Called Node]],Nodes!A:B,2,0)</f>
        <v>client</v>
      </c>
      <c r="E656" s="3" t="str">
        <f>Table1[[#This Row],[Calling Node]]&amp;" -&gt; "&amp;Table1[[#This Row],[Called Node]]</f>
        <v>test_GET_request_for_collect_AUCT_and_historical_COUNTER_data -&gt; client</v>
      </c>
      <c r="F656">
        <f>VLOOKUP(Table1[[#This Row],[Calling Node]],Nodes!A:D,4,0)</f>
        <v>31</v>
      </c>
      <c r="G656">
        <f>VLOOKUP(Table1[[#This Row],[Calling Node]],Nodes!A:E,5,0)</f>
        <v>16</v>
      </c>
      <c r="H656">
        <f>VLOOKUP(Table1[[#This Row],[Called Node]],Nodes!A:D,4,0)</f>
        <v>25</v>
      </c>
      <c r="I656">
        <f>VLOOKUP(Table1[[#This Row],[Called Node]],Nodes!A:E,5,0)</f>
        <v>3</v>
      </c>
    </row>
    <row r="657" spans="1:9" x14ac:dyDescent="0.3">
      <c r="A657" t="s">
        <v>329</v>
      </c>
      <c r="B657" t="str">
        <f>VLOOKUP(Table1[[#This Row],[Calling Node]],Nodes!A:B,2,0)</f>
        <v>test_GET_request_for_collect_AUCT_and_historical_COUNTER_data</v>
      </c>
      <c r="C657" t="s">
        <v>314</v>
      </c>
      <c r="D657" t="str">
        <f>VLOOKUP(Table1[[#This Row],[Called Node]],Nodes!A:B,2,0)</f>
        <v>blank_annualUsageCollectionTracking_data_types</v>
      </c>
      <c r="E657" s="3" t="str">
        <f>Table1[[#This Row],[Calling Node]]&amp;" -&gt; "&amp;Table1[[#This Row],[Called Node]]</f>
        <v>test_GET_request_for_collect_AUCT_and_historical_COUNTER_data -&gt; blank_annualUsageCollectionTracking_data_types</v>
      </c>
      <c r="F657">
        <f>VLOOKUP(Table1[[#This Row],[Calling Node]],Nodes!A:D,4,0)</f>
        <v>31</v>
      </c>
      <c r="G657">
        <f>VLOOKUP(Table1[[#This Row],[Calling Node]],Nodes!A:E,5,0)</f>
        <v>16</v>
      </c>
      <c r="H657">
        <f>VLOOKUP(Table1[[#This Row],[Called Node]],Nodes!A:D,4,0)</f>
        <v>31</v>
      </c>
      <c r="I657">
        <f>VLOOKUP(Table1[[#This Row],[Called Node]],Nodes!A:E,5,0)</f>
        <v>1</v>
      </c>
    </row>
    <row r="658" spans="1:9" x14ac:dyDescent="0.3">
      <c r="A658" t="s">
        <v>330</v>
      </c>
      <c r="B658" t="str">
        <f>VLOOKUP(Table1[[#This Row],[Calling Node]],Nodes!A:B,2,0)</f>
        <v>test_collect_AUCT_and_historical_COUNTER_data</v>
      </c>
      <c r="C658" t="s">
        <v>50</v>
      </c>
      <c r="D658" s="2" t="str">
        <f>VLOOKUP(Table1[[#This Row],[Called Node]],Nodes!A:B,2,0)</f>
        <v>state_data_types</v>
      </c>
      <c r="E658" s="3" t="str">
        <f>Table1[[#This Row],[Calling Node]]&amp;" -&gt; "&amp;Table1[[#This Row],[Called Node]]</f>
        <v>test_collect_AUCT_and_historical_COUNTER_data -&gt; state_data_types_in_annualUsageCollectionTracking</v>
      </c>
      <c r="F658">
        <f>VLOOKUP(Table1[[#This Row],[Calling Node]],Nodes!A:D,4,0)</f>
        <v>31</v>
      </c>
      <c r="G658">
        <f>VLOOKUP(Table1[[#This Row],[Calling Node]],Nodes!A:E,5,0)</f>
        <v>17</v>
      </c>
      <c r="H658">
        <f>VLOOKUP(Table1[[#This Row],[Called Node]],Nodes!A:D,4,0)</f>
        <v>11</v>
      </c>
      <c r="I658">
        <f>VLOOKUP(Table1[[#This Row],[Called Node]],Nodes!A:E,5,0)</f>
        <v>1</v>
      </c>
    </row>
    <row r="659" spans="1:9" x14ac:dyDescent="0.3">
      <c r="A659" t="s">
        <v>330</v>
      </c>
      <c r="B659" t="str">
        <f>VLOOKUP(Table1[[#This Row],[Calling Node]],Nodes!A:B,2,0)</f>
        <v>test_collect_AUCT_and_historical_COUNTER_data</v>
      </c>
      <c r="C659" t="s">
        <v>55</v>
      </c>
      <c r="D659" s="2" t="str">
        <f>VLOOKUP(Table1[[#This Row],[Called Node]],Nodes!A:B,2,0)</f>
        <v>state_data_types</v>
      </c>
      <c r="E659" s="3" t="str">
        <f>Table1[[#This Row],[Calling Node]]&amp;" -&gt; "&amp;Table1[[#This Row],[Called Node]]</f>
        <v>test_collect_AUCT_and_historical_COUNTER_data -&gt; state_data_types_in_COUNTERData</v>
      </c>
      <c r="F659">
        <f>VLOOKUP(Table1[[#This Row],[Calling Node]],Nodes!A:D,4,0)</f>
        <v>31</v>
      </c>
      <c r="G659">
        <f>VLOOKUP(Table1[[#This Row],[Calling Node]],Nodes!A:E,5,0)</f>
        <v>17</v>
      </c>
      <c r="H659">
        <f>VLOOKUP(Table1[[#This Row],[Called Node]],Nodes!A:D,4,0)</f>
        <v>12</v>
      </c>
      <c r="I659">
        <f>VLOOKUP(Table1[[#This Row],[Called Node]],Nodes!A:E,5,0)</f>
        <v>1</v>
      </c>
    </row>
    <row r="660" spans="1:9" x14ac:dyDescent="0.3">
      <c r="A660" t="s">
        <v>330</v>
      </c>
      <c r="B660" t="str">
        <f>VLOOKUP(Table1[[#This Row],[Calling Node]],Nodes!A:B,2,0)</f>
        <v>test_collect_AUCT_and_historical_COUNTER_data</v>
      </c>
      <c r="C660" t="s">
        <v>83</v>
      </c>
      <c r="D660" t="str">
        <f>VLOOKUP(Table1[[#This Row],[Called Node]],Nodes!A:B,2,0)</f>
        <v>collect_AUCT_and_historical_COUNTER_data</v>
      </c>
      <c r="E660" s="3" t="str">
        <f>Table1[[#This Row],[Calling Node]]&amp;" -&gt; "&amp;Table1[[#This Row],[Called Node]]</f>
        <v>test_collect_AUCT_and_historical_COUNTER_data -&gt; collect_AUCT_and_historical_COUNTER_data</v>
      </c>
      <c r="F660">
        <f>VLOOKUP(Table1[[#This Row],[Calling Node]],Nodes!A:D,4,0)</f>
        <v>31</v>
      </c>
      <c r="G660">
        <f>VLOOKUP(Table1[[#This Row],[Calling Node]],Nodes!A:E,5,0)</f>
        <v>17</v>
      </c>
      <c r="H660">
        <f>VLOOKUP(Table1[[#This Row],[Called Node]],Nodes!A:D,4,0)</f>
        <v>18</v>
      </c>
      <c r="I660">
        <f>VLOOKUP(Table1[[#This Row],[Called Node]],Nodes!A:E,5,0)</f>
        <v>3</v>
      </c>
    </row>
    <row r="661" spans="1:9" x14ac:dyDescent="0.3">
      <c r="A661" t="s">
        <v>330</v>
      </c>
      <c r="B661" t="str">
        <f>VLOOKUP(Table1[[#This Row],[Calling Node]],Nodes!A:B,2,0)</f>
        <v>test_collect_AUCT_and_historical_COUNTER_data</v>
      </c>
      <c r="C661" t="s">
        <v>123</v>
      </c>
      <c r="D661" t="str">
        <f>VLOOKUP(Table1[[#This Row],[Called Node]],Nodes!A:B,2,0)</f>
        <v>query_database</v>
      </c>
      <c r="E661" s="3" t="str">
        <f>Table1[[#This Row],[Calling Node]]&amp;" -&gt; "&amp;Table1[[#This Row],[Called Node]]</f>
        <v>test_collect_AUCT_and_historical_COUNTER_data -&gt; query_database</v>
      </c>
      <c r="F661">
        <f>VLOOKUP(Table1[[#This Row],[Calling Node]],Nodes!A:D,4,0)</f>
        <v>31</v>
      </c>
      <c r="G661">
        <f>VLOOKUP(Table1[[#This Row],[Calling Node]],Nodes!A:E,5,0)</f>
        <v>17</v>
      </c>
      <c r="H661">
        <f>VLOOKUP(Table1[[#This Row],[Called Node]],Nodes!A:D,4,0)</f>
        <v>22</v>
      </c>
      <c r="I661">
        <f>VLOOKUP(Table1[[#This Row],[Called Node]],Nodes!A:E,5,0)</f>
        <v>17</v>
      </c>
    </row>
    <row r="662" spans="1:9" x14ac:dyDescent="0.3">
      <c r="A662" t="s">
        <v>330</v>
      </c>
      <c r="B662" t="str">
        <f>VLOOKUP(Table1[[#This Row],[Calling Node]],Nodes!A:B,2,0)</f>
        <v>test_collect_AUCT_and_historical_COUNTER_data</v>
      </c>
      <c r="C662" t="s">
        <v>155</v>
      </c>
      <c r="D662" t="str">
        <f>VLOOKUP(Table1[[#This Row],[Called Node]],Nodes!A:B,2,0)</f>
        <v>database_function_skip_statements</v>
      </c>
      <c r="E662" s="3" t="str">
        <f>Table1[[#This Row],[Calling Node]]&amp;" -&gt; "&amp;Table1[[#This Row],[Called Node]]</f>
        <v>test_collect_AUCT_and_historical_COUNTER_data -&gt; database_function_skip_statements</v>
      </c>
      <c r="F662">
        <f>VLOOKUP(Table1[[#This Row],[Calling Node]],Nodes!A:D,4,0)</f>
        <v>31</v>
      </c>
      <c r="G662">
        <f>VLOOKUP(Table1[[#This Row],[Calling Node]],Nodes!A:E,5,0)</f>
        <v>17</v>
      </c>
      <c r="H662">
        <f>VLOOKUP(Table1[[#This Row],[Called Node]],Nodes!A:D,4,0)</f>
        <v>23</v>
      </c>
      <c r="I662">
        <f>VLOOKUP(Table1[[#This Row],[Called Node]],Nodes!A:E,5,0)</f>
        <v>21</v>
      </c>
    </row>
    <row r="663" spans="1:9" x14ac:dyDescent="0.3">
      <c r="A663" t="s">
        <v>330</v>
      </c>
      <c r="B663" t="str">
        <f>VLOOKUP(Table1[[#This Row],[Calling Node]],Nodes!A:B,2,0)</f>
        <v>test_collect_AUCT_and_historical_COUNTER_data</v>
      </c>
      <c r="C663" t="s">
        <v>215</v>
      </c>
      <c r="D663" t="str">
        <f>VLOOKUP(Table1[[#This Row],[Called Node]],Nodes!A:B,2,0)</f>
        <v>engine</v>
      </c>
      <c r="E663" s="3" t="str">
        <f>Table1[[#This Row],[Calling Node]]&amp;" -&gt; "&amp;Table1[[#This Row],[Called Node]]</f>
        <v>test_collect_AUCT_and_historical_COUNTER_data -&gt; engine</v>
      </c>
      <c r="F663">
        <f>VLOOKUP(Table1[[#This Row],[Calling Node]],Nodes!A:D,4,0)</f>
        <v>31</v>
      </c>
      <c r="G663">
        <f>VLOOKUP(Table1[[#This Row],[Calling Node]],Nodes!A:E,5,0)</f>
        <v>17</v>
      </c>
      <c r="H663">
        <f>VLOOKUP(Table1[[#This Row],[Called Node]],Nodes!A:D,4,0)</f>
        <v>25</v>
      </c>
      <c r="I663">
        <f>VLOOKUP(Table1[[#This Row],[Called Node]],Nodes!A:E,5,0)</f>
        <v>1</v>
      </c>
    </row>
    <row r="664" spans="1:9" x14ac:dyDescent="0.3">
      <c r="A664" t="s">
        <v>330</v>
      </c>
      <c r="B664" t="str">
        <f>VLOOKUP(Table1[[#This Row],[Calling Node]],Nodes!A:B,2,0)</f>
        <v>test_collect_AUCT_and_historical_COUNTER_data</v>
      </c>
      <c r="C664" t="s">
        <v>217</v>
      </c>
      <c r="D664" t="str">
        <f>VLOOKUP(Table1[[#This Row],[Called Node]],Nodes!A:B,2,0)</f>
        <v>client</v>
      </c>
      <c r="E664" s="3" t="str">
        <f>Table1[[#This Row],[Calling Node]]&amp;" -&gt; "&amp;Table1[[#This Row],[Called Node]]</f>
        <v>test_collect_AUCT_and_historical_COUNTER_data -&gt; client</v>
      </c>
      <c r="F664">
        <f>VLOOKUP(Table1[[#This Row],[Calling Node]],Nodes!A:D,4,0)</f>
        <v>31</v>
      </c>
      <c r="G664">
        <f>VLOOKUP(Table1[[#This Row],[Calling Node]],Nodes!A:E,5,0)</f>
        <v>17</v>
      </c>
      <c r="H664">
        <f>VLOOKUP(Table1[[#This Row],[Called Node]],Nodes!A:D,4,0)</f>
        <v>25</v>
      </c>
      <c r="I664">
        <f>VLOOKUP(Table1[[#This Row],[Called Node]],Nodes!A:E,5,0)</f>
        <v>3</v>
      </c>
    </row>
    <row r="665" spans="1:9" x14ac:dyDescent="0.3">
      <c r="A665" t="s">
        <v>330</v>
      </c>
      <c r="B665" t="str">
        <f>VLOOKUP(Table1[[#This Row],[Calling Node]],Nodes!A:B,2,0)</f>
        <v>test_collect_AUCT_and_historical_COUNTER_data</v>
      </c>
      <c r="C665" t="s">
        <v>229</v>
      </c>
      <c r="D665" s="2" t="str">
        <f>VLOOKUP(Table1[[#This Row],[Called Node]],Nodes!A:B,2,0)</f>
        <v>annualUsageCollectionTracking_relation</v>
      </c>
      <c r="E665" s="3" t="str">
        <f>Table1[[#This Row],[Calling Node]]&amp;" -&gt; "&amp;Table1[[#This Row],[Called Node]]</f>
        <v>test_collect_AUCT_and_historical_COUNTER_data -&gt; annualUsageCollectionTracking_relation_in_conftest</v>
      </c>
      <c r="F665">
        <f>VLOOKUP(Table1[[#This Row],[Calling Node]],Nodes!A:D,4,0)</f>
        <v>31</v>
      </c>
      <c r="G665">
        <f>VLOOKUP(Table1[[#This Row],[Calling Node]],Nodes!A:E,5,0)</f>
        <v>17</v>
      </c>
      <c r="H665">
        <f>VLOOKUP(Table1[[#This Row],[Called Node]],Nodes!A:D,4,0)</f>
        <v>25</v>
      </c>
      <c r="I665">
        <f>VLOOKUP(Table1[[#This Row],[Called Node]],Nodes!A:E,5,0)</f>
        <v>15</v>
      </c>
    </row>
    <row r="666" spans="1:9" x14ac:dyDescent="0.3">
      <c r="A666" t="s">
        <v>330</v>
      </c>
      <c r="B666" t="str">
        <f>VLOOKUP(Table1[[#This Row],[Calling Node]],Nodes!A:B,2,0)</f>
        <v>test_collect_AUCT_and_historical_COUNTER_data</v>
      </c>
      <c r="C666" t="s">
        <v>245</v>
      </c>
      <c r="D666" t="str">
        <f>VLOOKUP(Table1[[#This Row],[Called Node]],Nodes!A:B,2,0)</f>
        <v>create_COUNTERData_workbook_iterdir_list</v>
      </c>
      <c r="E666" s="3" t="str">
        <f>Table1[[#This Row],[Calling Node]]&amp;" -&gt; "&amp;Table1[[#This Row],[Called Node]]</f>
        <v>test_collect_AUCT_and_historical_COUNTER_data -&gt; create_COUNTERData_workbook_iterdir_list</v>
      </c>
      <c r="F666">
        <f>VLOOKUP(Table1[[#This Row],[Calling Node]],Nodes!A:D,4,0)</f>
        <v>31</v>
      </c>
      <c r="G666">
        <f>VLOOKUP(Table1[[#This Row],[Calling Node]],Nodes!A:E,5,0)</f>
        <v>17</v>
      </c>
      <c r="H666">
        <f>VLOOKUP(Table1[[#This Row],[Called Node]],Nodes!A:D,4,0)</f>
        <v>25</v>
      </c>
      <c r="I666">
        <f>VLOOKUP(Table1[[#This Row],[Called Node]],Nodes!A:E,5,0)</f>
        <v>31</v>
      </c>
    </row>
    <row r="667" spans="1:9" x14ac:dyDescent="0.3">
      <c r="A667" t="s">
        <v>330</v>
      </c>
      <c r="B667" t="str">
        <f>VLOOKUP(Table1[[#This Row],[Calling Node]],Nodes!A:B,2,0)</f>
        <v>test_collect_AUCT_and_historical_COUNTER_data</v>
      </c>
      <c r="C667" t="s">
        <v>246</v>
      </c>
      <c r="D667" t="str">
        <f>VLOOKUP(Table1[[#This Row],[Called Node]],Nodes!A:B,2,0)</f>
        <v>COUNTERData_relation</v>
      </c>
      <c r="E667" s="3" t="str">
        <f>Table1[[#This Row],[Calling Node]]&amp;" -&gt; "&amp;Table1[[#This Row],[Called Node]]</f>
        <v>test_collect_AUCT_and_historical_COUNTER_data -&gt; COUNTERData_relation</v>
      </c>
      <c r="F667">
        <f>VLOOKUP(Table1[[#This Row],[Calling Node]],Nodes!A:D,4,0)</f>
        <v>31</v>
      </c>
      <c r="G667">
        <f>VLOOKUP(Table1[[#This Row],[Calling Node]],Nodes!A:E,5,0)</f>
        <v>17</v>
      </c>
      <c r="H667">
        <f>VLOOKUP(Table1[[#This Row],[Called Node]],Nodes!A:D,4,0)</f>
        <v>25</v>
      </c>
      <c r="I667">
        <f>VLOOKUP(Table1[[#This Row],[Called Node]],Nodes!A:E,5,0)</f>
        <v>32</v>
      </c>
    </row>
    <row r="668" spans="1:9" x14ac:dyDescent="0.3">
      <c r="A668" t="s">
        <v>330</v>
      </c>
      <c r="B668" t="str">
        <f>VLOOKUP(Table1[[#This Row],[Calling Node]],Nodes!A:B,2,0)</f>
        <v>test_collect_AUCT_and_historical_COUNTER_data</v>
      </c>
      <c r="C668" t="s">
        <v>253</v>
      </c>
      <c r="D668" t="str">
        <f>VLOOKUP(Table1[[#This Row],[Called Node]],Nodes!A:B,2,0)</f>
        <v>header_value</v>
      </c>
      <c r="E668" s="3" t="str">
        <f>Table1[[#This Row],[Calling Node]]&amp;" -&gt; "&amp;Table1[[#This Row],[Called Node]]</f>
        <v>test_collect_AUCT_and_historical_COUNTER_data -&gt; header_value</v>
      </c>
      <c r="F668">
        <f>VLOOKUP(Table1[[#This Row],[Calling Node]],Nodes!A:D,4,0)</f>
        <v>31</v>
      </c>
      <c r="G668">
        <f>VLOOKUP(Table1[[#This Row],[Calling Node]],Nodes!A:E,5,0)</f>
        <v>17</v>
      </c>
      <c r="H668">
        <f>VLOOKUP(Table1[[#This Row],[Called Node]],Nodes!A:D,4,0)</f>
        <v>25</v>
      </c>
      <c r="I668">
        <f>VLOOKUP(Table1[[#This Row],[Called Node]],Nodes!A:E,5,0)</f>
        <v>39</v>
      </c>
    </row>
    <row r="669" spans="1:9" x14ac:dyDescent="0.3">
      <c r="A669" t="s">
        <v>331</v>
      </c>
      <c r="B669" t="str">
        <f>VLOOKUP(Table1[[#This Row],[Calling Node]],Nodes!A:B,2,0)</f>
        <v>test_GET_request_for_upload_historical_non_COUNTER_usage</v>
      </c>
      <c r="C669" t="s">
        <v>84</v>
      </c>
      <c r="D669" t="str">
        <f>VLOOKUP(Table1[[#This Row],[Called Node]],Nodes!A:B,2,0)</f>
        <v>upload_historical_non_COUNTER_usage</v>
      </c>
      <c r="E669" s="3" t="str">
        <f>Table1[[#This Row],[Calling Node]]&amp;" -&gt; "&amp;Table1[[#This Row],[Called Node]]</f>
        <v>test_GET_request_for_upload_historical_non_COUNTER_usage -&gt; upload_historical_non_COUNTER_usage</v>
      </c>
      <c r="F669">
        <f>VLOOKUP(Table1[[#This Row],[Calling Node]],Nodes!A:D,4,0)</f>
        <v>31</v>
      </c>
      <c r="G669">
        <f>VLOOKUP(Table1[[#This Row],[Calling Node]],Nodes!A:E,5,0)</f>
        <v>18</v>
      </c>
      <c r="H669">
        <f>VLOOKUP(Table1[[#This Row],[Called Node]],Nodes!A:D,4,0)</f>
        <v>18</v>
      </c>
      <c r="I669">
        <f>VLOOKUP(Table1[[#This Row],[Called Node]],Nodes!A:E,5,0)</f>
        <v>4</v>
      </c>
    </row>
    <row r="670" spans="1:9" x14ac:dyDescent="0.3">
      <c r="A670" t="s">
        <v>331</v>
      </c>
      <c r="B670" t="str">
        <f>VLOOKUP(Table1[[#This Row],[Calling Node]],Nodes!A:B,2,0)</f>
        <v>test_GET_request_for_upload_historical_non_COUNTER_usage</v>
      </c>
      <c r="C670" t="s">
        <v>123</v>
      </c>
      <c r="D670" t="str">
        <f>VLOOKUP(Table1[[#This Row],[Called Node]],Nodes!A:B,2,0)</f>
        <v>query_database</v>
      </c>
      <c r="E670" s="3" t="str">
        <f>Table1[[#This Row],[Calling Node]]&amp;" -&gt; "&amp;Table1[[#This Row],[Called Node]]</f>
        <v>test_GET_request_for_upload_historical_non_COUNTER_usage -&gt; query_database</v>
      </c>
      <c r="F670">
        <f>VLOOKUP(Table1[[#This Row],[Calling Node]],Nodes!A:D,4,0)</f>
        <v>31</v>
      </c>
      <c r="G670">
        <f>VLOOKUP(Table1[[#This Row],[Calling Node]],Nodes!A:E,5,0)</f>
        <v>18</v>
      </c>
      <c r="H670">
        <f>VLOOKUP(Table1[[#This Row],[Called Node]],Nodes!A:D,4,0)</f>
        <v>22</v>
      </c>
      <c r="I670">
        <f>VLOOKUP(Table1[[#This Row],[Called Node]],Nodes!A:E,5,0)</f>
        <v>17</v>
      </c>
    </row>
    <row r="671" spans="1:9" x14ac:dyDescent="0.3">
      <c r="A671" t="s">
        <v>331</v>
      </c>
      <c r="B671" t="str">
        <f>VLOOKUP(Table1[[#This Row],[Calling Node]],Nodes!A:B,2,0)</f>
        <v>test_GET_request_for_upload_historical_non_COUNTER_usage</v>
      </c>
      <c r="C671" t="s">
        <v>155</v>
      </c>
      <c r="D671" t="str">
        <f>VLOOKUP(Table1[[#This Row],[Called Node]],Nodes!A:B,2,0)</f>
        <v>database_function_skip_statements</v>
      </c>
      <c r="E671" s="3" t="str">
        <f>Table1[[#This Row],[Calling Node]]&amp;" -&gt; "&amp;Table1[[#This Row],[Called Node]]</f>
        <v>test_GET_request_for_upload_historical_non_COUNTER_usage -&gt; database_function_skip_statements</v>
      </c>
      <c r="F671">
        <f>VLOOKUP(Table1[[#This Row],[Calling Node]],Nodes!A:D,4,0)</f>
        <v>31</v>
      </c>
      <c r="G671">
        <f>VLOOKUP(Table1[[#This Row],[Calling Node]],Nodes!A:E,5,0)</f>
        <v>18</v>
      </c>
      <c r="H671">
        <f>VLOOKUP(Table1[[#This Row],[Called Node]],Nodes!A:D,4,0)</f>
        <v>23</v>
      </c>
      <c r="I671">
        <f>VLOOKUP(Table1[[#This Row],[Called Node]],Nodes!A:E,5,0)</f>
        <v>21</v>
      </c>
    </row>
    <row r="672" spans="1:9" x14ac:dyDescent="0.3">
      <c r="A672" t="s">
        <v>331</v>
      </c>
      <c r="B672" t="str">
        <f>VLOOKUP(Table1[[#This Row],[Calling Node]],Nodes!A:B,2,0)</f>
        <v>test_GET_request_for_upload_historical_non_COUNTER_usage</v>
      </c>
      <c r="C672" t="s">
        <v>217</v>
      </c>
      <c r="D672" t="str">
        <f>VLOOKUP(Table1[[#This Row],[Called Node]],Nodes!A:B,2,0)</f>
        <v>client</v>
      </c>
      <c r="E672" s="3" t="str">
        <f>Table1[[#This Row],[Calling Node]]&amp;" -&gt; "&amp;Table1[[#This Row],[Called Node]]</f>
        <v>test_GET_request_for_upload_historical_non_COUNTER_usage -&gt; client</v>
      </c>
      <c r="F672">
        <f>VLOOKUP(Table1[[#This Row],[Calling Node]],Nodes!A:D,4,0)</f>
        <v>31</v>
      </c>
      <c r="G672">
        <f>VLOOKUP(Table1[[#This Row],[Calling Node]],Nodes!A:E,5,0)</f>
        <v>18</v>
      </c>
      <c r="H672">
        <f>VLOOKUP(Table1[[#This Row],[Called Node]],Nodes!A:D,4,0)</f>
        <v>25</v>
      </c>
      <c r="I672">
        <f>VLOOKUP(Table1[[#This Row],[Called Node]],Nodes!A:E,5,0)</f>
        <v>3</v>
      </c>
    </row>
    <row r="673" spans="1:9" x14ac:dyDescent="0.3">
      <c r="A673" t="s">
        <v>332</v>
      </c>
      <c r="B673" t="str">
        <f>VLOOKUP(Table1[[#This Row],[Calling Node]],Nodes!A:B,2,0)</f>
        <v>"files_for_test_upload_historical_non_COUNTER_usage._files_for_test_upload_historical_non_COUNTER_usage"</v>
      </c>
      <c r="C673" t="s">
        <v>84</v>
      </c>
      <c r="D673" t="str">
        <f>VLOOKUP(Table1[[#This Row],[Called Node]],Nodes!A:B,2,0)</f>
        <v>upload_historical_non_COUNTER_usage</v>
      </c>
      <c r="E673" s="3" t="str">
        <f>Table1[[#This Row],[Calling Node]]&amp;" -&gt; "&amp;Table1[[#This Row],[Called Node]]</f>
        <v>files_for_test_upload_historical_non_COUNTER_usage -&gt; upload_historical_non_COUNTER_usage</v>
      </c>
      <c r="F673">
        <f>VLOOKUP(Table1[[#This Row],[Calling Node]],Nodes!A:D,4,0)</f>
        <v>31</v>
      </c>
      <c r="G673">
        <f>VLOOKUP(Table1[[#This Row],[Calling Node]],Nodes!A:E,5,0)</f>
        <v>19</v>
      </c>
      <c r="H673">
        <f>VLOOKUP(Table1[[#This Row],[Called Node]],Nodes!A:D,4,0)</f>
        <v>18</v>
      </c>
      <c r="I673">
        <f>VLOOKUP(Table1[[#This Row],[Called Node]],Nodes!A:E,5,0)</f>
        <v>4</v>
      </c>
    </row>
    <row r="674" spans="1:9" x14ac:dyDescent="0.3">
      <c r="A674" t="s">
        <v>332</v>
      </c>
      <c r="B674" t="str">
        <f>VLOOKUP(Table1[[#This Row],[Calling Node]],Nodes!A:B,2,0)</f>
        <v>"files_for_test_upload_historical_non_COUNTER_usage._files_for_test_upload_historical_non_COUNTER_usage"</v>
      </c>
      <c r="C674" t="s">
        <v>145</v>
      </c>
      <c r="D674" t="str">
        <f>VLOOKUP(Table1[[#This Row],[Called Node]],Nodes!A:B,2,0)</f>
        <v>check_if_file_exists_statement</v>
      </c>
      <c r="E674" s="3" t="str">
        <f>Table1[[#This Row],[Calling Node]]&amp;" -&gt; "&amp;Table1[[#This Row],[Called Node]]</f>
        <v>files_for_test_upload_historical_non_COUNTER_usage -&gt; check_if_file_exists_statement</v>
      </c>
      <c r="F674">
        <f>VLOOKUP(Table1[[#This Row],[Calling Node]],Nodes!A:D,4,0)</f>
        <v>31</v>
      </c>
      <c r="G674">
        <f>VLOOKUP(Table1[[#This Row],[Calling Node]],Nodes!A:E,5,0)</f>
        <v>19</v>
      </c>
      <c r="H674">
        <f>VLOOKUP(Table1[[#This Row],[Called Node]],Nodes!A:D,4,0)</f>
        <v>23</v>
      </c>
      <c r="I674">
        <f>VLOOKUP(Table1[[#This Row],[Called Node]],Nodes!A:E,5,0)</f>
        <v>11</v>
      </c>
    </row>
    <row r="675" spans="1:9" x14ac:dyDescent="0.3">
      <c r="A675" t="s">
        <v>332</v>
      </c>
      <c r="B675" t="str">
        <f>VLOOKUP(Table1[[#This Row],[Calling Node]],Nodes!A:B,2,0)</f>
        <v>"files_for_test_upload_historical_non_COUNTER_usage._files_for_test_upload_historical_non_COUNTER_usage"</v>
      </c>
      <c r="C675" t="s">
        <v>147</v>
      </c>
      <c r="D675" t="str">
        <f>VLOOKUP(Table1[[#This Row],[Called Node]],Nodes!A:B,2,0)</f>
        <v>unable_to_delete_test_file_in_S3_statement</v>
      </c>
      <c r="E675" s="3" t="str">
        <f>Table1[[#This Row],[Calling Node]]&amp;" -&gt; "&amp;Table1[[#This Row],[Called Node]]</f>
        <v>files_for_test_upload_historical_non_COUNTER_usage -&gt; unable_to_delete_test_file_in_S3_statement</v>
      </c>
      <c r="F675">
        <f>VLOOKUP(Table1[[#This Row],[Calling Node]],Nodes!A:D,4,0)</f>
        <v>31</v>
      </c>
      <c r="G675">
        <f>VLOOKUP(Table1[[#This Row],[Calling Node]],Nodes!A:E,5,0)</f>
        <v>19</v>
      </c>
      <c r="H675">
        <f>VLOOKUP(Table1[[#This Row],[Called Node]],Nodes!A:D,4,0)</f>
        <v>23</v>
      </c>
      <c r="I675">
        <f>VLOOKUP(Table1[[#This Row],[Called Node]],Nodes!A:E,5,0)</f>
        <v>13</v>
      </c>
    </row>
    <row r="676" spans="1:9" x14ac:dyDescent="0.3">
      <c r="A676" t="s">
        <v>334</v>
      </c>
      <c r="B676" t="str">
        <f>VLOOKUP(Table1[[#This Row],[Calling Node]],Nodes!A:B,2,0)</f>
        <v>test_upload_historical_non_COUNTER_usage</v>
      </c>
      <c r="C676" t="s">
        <v>84</v>
      </c>
      <c r="D676" t="str">
        <f>VLOOKUP(Table1[[#This Row],[Called Node]],Nodes!A:B,2,0)</f>
        <v>upload_historical_non_COUNTER_usage</v>
      </c>
      <c r="E676" s="3" t="str">
        <f>Table1[[#This Row],[Calling Node]]&amp;" -&gt; "&amp;Table1[[#This Row],[Called Node]]</f>
        <v>test_upload_historical_non_COUNTER_usage -&gt; upload_historical_non_COUNTER_usage</v>
      </c>
      <c r="F676">
        <f>VLOOKUP(Table1[[#This Row],[Calling Node]],Nodes!A:D,4,0)</f>
        <v>31</v>
      </c>
      <c r="G676">
        <f>VLOOKUP(Table1[[#This Row],[Calling Node]],Nodes!A:E,5,0)</f>
        <v>20</v>
      </c>
      <c r="H676">
        <f>VLOOKUP(Table1[[#This Row],[Called Node]],Nodes!A:D,4,0)</f>
        <v>18</v>
      </c>
      <c r="I676">
        <f>VLOOKUP(Table1[[#This Row],[Called Node]],Nodes!A:E,5,0)</f>
        <v>4</v>
      </c>
    </row>
    <row r="677" spans="1:9" x14ac:dyDescent="0.3">
      <c r="A677" t="s">
        <v>334</v>
      </c>
      <c r="B677" t="str">
        <f>VLOOKUP(Table1[[#This Row],[Calling Node]],Nodes!A:B,2,0)</f>
        <v>test_upload_historical_non_COUNTER_usage</v>
      </c>
      <c r="C677" t="s">
        <v>121</v>
      </c>
      <c r="D677" t="str">
        <f>VLOOKUP(Table1[[#This Row],[Called Node]],Nodes!A:B,2,0)</f>
        <v>create_AUCT_SelectField_options</v>
      </c>
      <c r="E677" s="3" t="str">
        <f>Table1[[#This Row],[Calling Node]]&amp;" -&gt; "&amp;Table1[[#This Row],[Called Node]]</f>
        <v>test_upload_historical_non_COUNTER_usage -&gt; create_AUCT_SelectField_options</v>
      </c>
      <c r="F677">
        <f>VLOOKUP(Table1[[#This Row],[Calling Node]],Nodes!A:D,4,0)</f>
        <v>31</v>
      </c>
      <c r="G677">
        <f>VLOOKUP(Table1[[#This Row],[Calling Node]],Nodes!A:E,5,0)</f>
        <v>20</v>
      </c>
      <c r="H677">
        <f>VLOOKUP(Table1[[#This Row],[Called Node]],Nodes!A:D,4,0)</f>
        <v>22</v>
      </c>
      <c r="I677">
        <f>VLOOKUP(Table1[[#This Row],[Called Node]],Nodes!A:E,5,0)</f>
        <v>15</v>
      </c>
    </row>
    <row r="678" spans="1:9" x14ac:dyDescent="0.3">
      <c r="A678" t="s">
        <v>334</v>
      </c>
      <c r="B678" t="str">
        <f>VLOOKUP(Table1[[#This Row],[Calling Node]],Nodes!A:B,2,0)</f>
        <v>test_upload_historical_non_COUNTER_usage</v>
      </c>
      <c r="C678" t="s">
        <v>123</v>
      </c>
      <c r="D678" t="str">
        <f>VLOOKUP(Table1[[#This Row],[Called Node]],Nodes!A:B,2,0)</f>
        <v>query_database</v>
      </c>
      <c r="E678" s="3" t="str">
        <f>Table1[[#This Row],[Calling Node]]&amp;" -&gt; "&amp;Table1[[#This Row],[Called Node]]</f>
        <v>test_upload_historical_non_COUNTER_usage -&gt; query_database</v>
      </c>
      <c r="F678">
        <f>VLOOKUP(Table1[[#This Row],[Calling Node]],Nodes!A:D,4,0)</f>
        <v>31</v>
      </c>
      <c r="G678">
        <f>VLOOKUP(Table1[[#This Row],[Calling Node]],Nodes!A:E,5,0)</f>
        <v>20</v>
      </c>
      <c r="H678">
        <f>VLOOKUP(Table1[[#This Row],[Called Node]],Nodes!A:D,4,0)</f>
        <v>22</v>
      </c>
      <c r="I678">
        <f>VLOOKUP(Table1[[#This Row],[Called Node]],Nodes!A:E,5,0)</f>
        <v>17</v>
      </c>
    </row>
    <row r="679" spans="1:9" x14ac:dyDescent="0.3">
      <c r="A679" t="s">
        <v>334</v>
      </c>
      <c r="B679" t="str">
        <f>VLOOKUP(Table1[[#This Row],[Calling Node]],Nodes!A:B,2,0)</f>
        <v>test_upload_historical_non_COUNTER_usage</v>
      </c>
      <c r="C679" t="s">
        <v>136</v>
      </c>
      <c r="D679" t="str">
        <f>VLOOKUP(Table1[[#This Row],[Called Node]],Nodes!A:B,2,0)</f>
        <v>format_list_for_stdout</v>
      </c>
      <c r="E679" s="3" t="str">
        <f>Table1[[#This Row],[Calling Node]]&amp;" -&gt; "&amp;Table1[[#This Row],[Called Node]]</f>
        <v>test_upload_historical_non_COUNTER_usage -&gt; format_list_for_stdout</v>
      </c>
      <c r="F679">
        <f>VLOOKUP(Table1[[#This Row],[Calling Node]],Nodes!A:D,4,0)</f>
        <v>31</v>
      </c>
      <c r="G679">
        <f>VLOOKUP(Table1[[#This Row],[Calling Node]],Nodes!A:E,5,0)</f>
        <v>20</v>
      </c>
      <c r="H679">
        <f>VLOOKUP(Table1[[#This Row],[Called Node]],Nodes!A:D,4,0)</f>
        <v>23</v>
      </c>
      <c r="I679">
        <f>VLOOKUP(Table1[[#This Row],[Called Node]],Nodes!A:E,5,0)</f>
        <v>2</v>
      </c>
    </row>
    <row r="680" spans="1:9" x14ac:dyDescent="0.3">
      <c r="A680" t="s">
        <v>334</v>
      </c>
      <c r="B680" t="str">
        <f>VLOOKUP(Table1[[#This Row],[Calling Node]],Nodes!A:B,2,0)</f>
        <v>test_upload_historical_non_COUNTER_usage</v>
      </c>
      <c r="C680" t="s">
        <v>155</v>
      </c>
      <c r="D680" t="str">
        <f>VLOOKUP(Table1[[#This Row],[Called Node]],Nodes!A:B,2,0)</f>
        <v>database_function_skip_statements</v>
      </c>
      <c r="E680" s="3" t="str">
        <f>Table1[[#This Row],[Calling Node]]&amp;" -&gt; "&amp;Table1[[#This Row],[Called Node]]</f>
        <v>test_upload_historical_non_COUNTER_usage -&gt; database_function_skip_statements</v>
      </c>
      <c r="F680">
        <f>VLOOKUP(Table1[[#This Row],[Calling Node]],Nodes!A:D,4,0)</f>
        <v>31</v>
      </c>
      <c r="G680">
        <f>VLOOKUP(Table1[[#This Row],[Calling Node]],Nodes!A:E,5,0)</f>
        <v>20</v>
      </c>
      <c r="H680">
        <f>VLOOKUP(Table1[[#This Row],[Called Node]],Nodes!A:D,4,0)</f>
        <v>23</v>
      </c>
      <c r="I680">
        <f>VLOOKUP(Table1[[#This Row],[Called Node]],Nodes!A:E,5,0)</f>
        <v>21</v>
      </c>
    </row>
    <row r="681" spans="1:9" x14ac:dyDescent="0.3">
      <c r="A681" t="s">
        <v>334</v>
      </c>
      <c r="B681" t="str">
        <f>VLOOKUP(Table1[[#This Row],[Calling Node]],Nodes!A:B,2,0)</f>
        <v>test_upload_historical_non_COUNTER_usage</v>
      </c>
      <c r="C681" t="s">
        <v>215</v>
      </c>
      <c r="D681" t="str">
        <f>VLOOKUP(Table1[[#This Row],[Called Node]],Nodes!A:B,2,0)</f>
        <v>engine</v>
      </c>
      <c r="E681" s="3" t="str">
        <f>Table1[[#This Row],[Calling Node]]&amp;" -&gt; "&amp;Table1[[#This Row],[Called Node]]</f>
        <v>test_upload_historical_non_COUNTER_usage -&gt; engine</v>
      </c>
      <c r="F681">
        <f>VLOOKUP(Table1[[#This Row],[Calling Node]],Nodes!A:D,4,0)</f>
        <v>31</v>
      </c>
      <c r="G681">
        <f>VLOOKUP(Table1[[#This Row],[Calling Node]],Nodes!A:E,5,0)</f>
        <v>20</v>
      </c>
      <c r="H681">
        <f>VLOOKUP(Table1[[#This Row],[Called Node]],Nodes!A:D,4,0)</f>
        <v>25</v>
      </c>
      <c r="I681">
        <f>VLOOKUP(Table1[[#This Row],[Called Node]],Nodes!A:E,5,0)</f>
        <v>1</v>
      </c>
    </row>
    <row r="682" spans="1:9" x14ac:dyDescent="0.3">
      <c r="A682" t="s">
        <v>334</v>
      </c>
      <c r="B682" t="str">
        <f>VLOOKUP(Table1[[#This Row],[Calling Node]],Nodes!A:B,2,0)</f>
        <v>test_upload_historical_non_COUNTER_usage</v>
      </c>
      <c r="C682" t="s">
        <v>217</v>
      </c>
      <c r="D682" t="str">
        <f>VLOOKUP(Table1[[#This Row],[Called Node]],Nodes!A:B,2,0)</f>
        <v>client</v>
      </c>
      <c r="E682" s="3" t="str">
        <f>Table1[[#This Row],[Calling Node]]&amp;" -&gt; "&amp;Table1[[#This Row],[Called Node]]</f>
        <v>test_upload_historical_non_COUNTER_usage -&gt; client</v>
      </c>
      <c r="F682">
        <f>VLOOKUP(Table1[[#This Row],[Calling Node]],Nodes!A:D,4,0)</f>
        <v>31</v>
      </c>
      <c r="G682">
        <f>VLOOKUP(Table1[[#This Row],[Calling Node]],Nodes!A:E,5,0)</f>
        <v>20</v>
      </c>
      <c r="H682">
        <f>VLOOKUP(Table1[[#This Row],[Called Node]],Nodes!A:D,4,0)</f>
        <v>25</v>
      </c>
      <c r="I682">
        <f>VLOOKUP(Table1[[#This Row],[Called Node]],Nodes!A:E,5,0)</f>
        <v>3</v>
      </c>
    </row>
    <row r="683" spans="1:9" x14ac:dyDescent="0.3">
      <c r="A683" t="s">
        <v>334</v>
      </c>
      <c r="B683" t="str">
        <f>VLOOKUP(Table1[[#This Row],[Calling Node]],Nodes!A:B,2,0)</f>
        <v>test_upload_historical_non_COUNTER_usage</v>
      </c>
      <c r="C683" t="s">
        <v>253</v>
      </c>
      <c r="D683" t="str">
        <f>VLOOKUP(Table1[[#This Row],[Called Node]],Nodes!A:B,2,0)</f>
        <v>header_value</v>
      </c>
      <c r="E683" s="3" t="str">
        <f>Table1[[#This Row],[Calling Node]]&amp;" -&gt; "&amp;Table1[[#This Row],[Called Node]]</f>
        <v>test_upload_historical_non_COUNTER_usage -&gt; header_value</v>
      </c>
      <c r="F683">
        <f>VLOOKUP(Table1[[#This Row],[Calling Node]],Nodes!A:D,4,0)</f>
        <v>31</v>
      </c>
      <c r="G683">
        <f>VLOOKUP(Table1[[#This Row],[Calling Node]],Nodes!A:E,5,0)</f>
        <v>20</v>
      </c>
      <c r="H683">
        <f>VLOOKUP(Table1[[#This Row],[Called Node]],Nodes!A:D,4,0)</f>
        <v>25</v>
      </c>
      <c r="I683">
        <f>VLOOKUP(Table1[[#This Row],[Called Node]],Nodes!A:E,5,0)</f>
        <v>39</v>
      </c>
    </row>
    <row r="684" spans="1:9" x14ac:dyDescent="0.3">
      <c r="A684" t="s">
        <v>334</v>
      </c>
      <c r="B684" t="str">
        <f>VLOOKUP(Table1[[#This Row],[Calling Node]],Nodes!A:B,2,0)</f>
        <v>test_upload_historical_non_COUNTER_usage</v>
      </c>
      <c r="C684" t="s">
        <v>332</v>
      </c>
      <c r="D684" t="str">
        <f>VLOOKUP(Table1[[#This Row],[Called Node]],Nodes!A:B,2,0)</f>
        <v>"files_for_test_upload_historical_non_COUNTER_usage._files_for_test_upload_historical_non_COUNTER_usage"</v>
      </c>
      <c r="E684" s="3" t="str">
        <f>Table1[[#This Row],[Calling Node]]&amp;" -&gt; "&amp;Table1[[#This Row],[Called Node]]</f>
        <v>test_upload_historical_non_COUNTER_usage -&gt; files_for_test_upload_historical_non_COUNTER_usage</v>
      </c>
      <c r="F684">
        <f>VLOOKUP(Table1[[#This Row],[Calling Node]],Nodes!A:D,4,0)</f>
        <v>31</v>
      </c>
      <c r="G684">
        <f>VLOOKUP(Table1[[#This Row],[Calling Node]],Nodes!A:E,5,0)</f>
        <v>20</v>
      </c>
      <c r="H684">
        <f>VLOOKUP(Table1[[#This Row],[Called Node]],Nodes!A:D,4,0)</f>
        <v>31</v>
      </c>
      <c r="I684">
        <f>VLOOKUP(Table1[[#This Row],[Called Node]],Nodes!A:E,5,0)</f>
        <v>19</v>
      </c>
    </row>
    <row r="685" spans="1:9" x14ac:dyDescent="0.3">
      <c r="A685" t="s">
        <v>336</v>
      </c>
      <c r="B685" t="str">
        <f>VLOOKUP(Table1[[#This Row],[Calling Node]],Nodes!A:B,2,0)</f>
        <v>test_login_homepage</v>
      </c>
      <c r="C685" t="s">
        <v>87</v>
      </c>
      <c r="D685" t="str">
        <f>VLOOKUP(Table1[[#This Row],[Called Node]],Nodes!A:B,2,0)</f>
        <v>login_homepage</v>
      </c>
      <c r="E685" s="3" t="str">
        <f>Table1[[#This Row],[Calling Node]]&amp;" -&gt; "&amp;Table1[[#This Row],[Called Node]]</f>
        <v>test_login_homepage -&gt; login_homepage</v>
      </c>
      <c r="F685">
        <f>VLOOKUP(Table1[[#This Row],[Calling Node]],Nodes!A:D,4,0)</f>
        <v>32</v>
      </c>
      <c r="G685">
        <f>VLOOKUP(Table1[[#This Row],[Calling Node]],Nodes!A:E,5,0)</f>
        <v>1</v>
      </c>
      <c r="H685">
        <f>VLOOKUP(Table1[[#This Row],[Called Node]],Nodes!A:D,4,0)</f>
        <v>19</v>
      </c>
      <c r="I685">
        <f>VLOOKUP(Table1[[#This Row],[Called Node]],Nodes!A:E,5,0)</f>
        <v>1</v>
      </c>
    </row>
    <row r="686" spans="1:9" x14ac:dyDescent="0.3">
      <c r="A686" t="s">
        <v>336</v>
      </c>
      <c r="B686" t="str">
        <f>VLOOKUP(Table1[[#This Row],[Calling Node]],Nodes!A:B,2,0)</f>
        <v>test_login_homepage</v>
      </c>
      <c r="C686" t="s">
        <v>217</v>
      </c>
      <c r="D686" t="str">
        <f>VLOOKUP(Table1[[#This Row],[Called Node]],Nodes!A:B,2,0)</f>
        <v>client</v>
      </c>
      <c r="E686" s="3" t="str">
        <f>Table1[[#This Row],[Calling Node]]&amp;" -&gt; "&amp;Table1[[#This Row],[Called Node]]</f>
        <v>test_login_homepage -&gt; client</v>
      </c>
      <c r="F686">
        <f>VLOOKUP(Table1[[#This Row],[Calling Node]],Nodes!A:D,4,0)</f>
        <v>32</v>
      </c>
      <c r="G686">
        <f>VLOOKUP(Table1[[#This Row],[Calling Node]],Nodes!A:E,5,0)</f>
        <v>1</v>
      </c>
      <c r="H686">
        <f>VLOOKUP(Table1[[#This Row],[Called Node]],Nodes!A:D,4,0)</f>
        <v>25</v>
      </c>
      <c r="I686">
        <f>VLOOKUP(Table1[[#This Row],[Called Node]],Nodes!A:E,5,0)</f>
        <v>3</v>
      </c>
    </row>
    <row r="687" spans="1:9" x14ac:dyDescent="0.3">
      <c r="A687" t="s">
        <v>341</v>
      </c>
      <c r="B687" t="str">
        <f>VLOOKUP(Table1[[#This Row],[Calling Node]],Nodes!A:B,2,0)</f>
        <v>test_view_lists_homepage</v>
      </c>
      <c r="C687" t="s">
        <v>89</v>
      </c>
      <c r="D687" t="str">
        <f>VLOOKUP(Table1[[#This Row],[Called Node]],Nodes!A:B,2,0)</f>
        <v>view_lists_homepage</v>
      </c>
      <c r="E687" s="3" t="str">
        <f>Table1[[#This Row],[Calling Node]]&amp;" -&gt; "&amp;Table1[[#This Row],[Called Node]]</f>
        <v>test_view_lists_homepage -&gt; view_lists_homepage</v>
      </c>
      <c r="F687">
        <f>VLOOKUP(Table1[[#This Row],[Calling Node]],Nodes!A:D,4,0)</f>
        <v>33</v>
      </c>
      <c r="G687">
        <f>VLOOKUP(Table1[[#This Row],[Calling Node]],Nodes!A:E,5,0)</f>
        <v>1</v>
      </c>
      <c r="H687">
        <f>VLOOKUP(Table1[[#This Row],[Called Node]],Nodes!A:D,4,0)</f>
        <v>20</v>
      </c>
      <c r="I687">
        <f>VLOOKUP(Table1[[#This Row],[Called Node]],Nodes!A:E,5,0)</f>
        <v>1</v>
      </c>
    </row>
    <row r="688" spans="1:9" x14ac:dyDescent="0.3">
      <c r="A688" t="s">
        <v>348</v>
      </c>
      <c r="B688" t="str">
        <f>VLOOKUP(Table1[[#This Row],[Calling Node]],Nodes!A:B,2,0)</f>
        <v>COUNTER_download_CSV</v>
      </c>
      <c r="C688" t="s">
        <v>95</v>
      </c>
      <c r="D688" t="str">
        <f>VLOOKUP(Table1[[#This Row],[Called Node]],Nodes!A:B,2,0)</f>
        <v>create_downloads_folder</v>
      </c>
      <c r="E688" s="3" t="str">
        <f>Table1[[#This Row],[Calling Node]]&amp;" -&gt; "&amp;Table1[[#This Row],[Called Node]]</f>
        <v>COUNTER_download_CSV -&gt; create_downloads_folder</v>
      </c>
      <c r="F688">
        <f>VLOOKUP(Table1[[#This Row],[Calling Node]],Nodes!A:D,4,0)</f>
        <v>34</v>
      </c>
      <c r="G688">
        <f>VLOOKUP(Table1[[#This Row],[Calling Node]],Nodes!A:E,5,0)</f>
        <v>1</v>
      </c>
      <c r="H688">
        <f>VLOOKUP(Table1[[#This Row],[Called Node]],Nodes!A:D,4,0)</f>
        <v>21</v>
      </c>
      <c r="I688">
        <f>VLOOKUP(Table1[[#This Row],[Called Node]],Nodes!A:E,5,0)</f>
        <v>3</v>
      </c>
    </row>
    <row r="689" spans="1:9" x14ac:dyDescent="0.3">
      <c r="A689" t="s">
        <v>348</v>
      </c>
      <c r="B689" t="str">
        <f>VLOOKUP(Table1[[#This Row],[Calling Node]],Nodes!A:B,2,0)</f>
        <v>COUNTER_download_CSV</v>
      </c>
      <c r="C689" t="s">
        <v>147</v>
      </c>
      <c r="D689" t="str">
        <f>VLOOKUP(Table1[[#This Row],[Called Node]],Nodes!A:B,2,0)</f>
        <v>unable_to_delete_test_file_in_S3_statement</v>
      </c>
      <c r="E689" s="3" t="str">
        <f>Table1[[#This Row],[Calling Node]]&amp;" -&gt; "&amp;Table1[[#This Row],[Called Node]]</f>
        <v>COUNTER_download_CSV -&gt; unable_to_delete_test_file_in_S3_statement</v>
      </c>
      <c r="F689">
        <f>VLOOKUP(Table1[[#This Row],[Calling Node]],Nodes!A:D,4,0)</f>
        <v>34</v>
      </c>
      <c r="G689">
        <f>VLOOKUP(Table1[[#This Row],[Calling Node]],Nodes!A:E,5,0)</f>
        <v>1</v>
      </c>
      <c r="H689">
        <f>VLOOKUP(Table1[[#This Row],[Called Node]],Nodes!A:D,4,0)</f>
        <v>23</v>
      </c>
      <c r="I689">
        <f>VLOOKUP(Table1[[#This Row],[Called Node]],Nodes!A:E,5,0)</f>
        <v>13</v>
      </c>
    </row>
    <row r="690" spans="1:9" x14ac:dyDescent="0.3">
      <c r="A690" t="s">
        <v>349</v>
      </c>
      <c r="B690" t="str">
        <f>VLOOKUP(Table1[[#This Row],[Calling Node]],Nodes!A:B,2,0)</f>
        <v>test_create_COUNTER_fixed_vocab_list</v>
      </c>
      <c r="C690" t="s">
        <v>93</v>
      </c>
      <c r="D690" t="str">
        <f>VLOOKUP(Table1[[#This Row],[Called Node]],Nodes!A:B,2,0)</f>
        <v>create_COUNTER_fixed_vocab_list</v>
      </c>
      <c r="E690" s="3" t="str">
        <f>Table1[[#This Row],[Calling Node]]&amp;" -&gt; "&amp;Table1[[#This Row],[Called Node]]</f>
        <v>test_create_COUNTER_fixed_vocab_list -&gt; create_COUNTER_fixed_vocab_list</v>
      </c>
      <c r="F690">
        <f>VLOOKUP(Table1[[#This Row],[Calling Node]],Nodes!A:D,4,0)</f>
        <v>34</v>
      </c>
      <c r="G690">
        <f>VLOOKUP(Table1[[#This Row],[Calling Node]],Nodes!A:E,5,0)</f>
        <v>2</v>
      </c>
      <c r="H690">
        <f>VLOOKUP(Table1[[#This Row],[Called Node]],Nodes!A:D,4,0)</f>
        <v>21</v>
      </c>
      <c r="I690">
        <f>VLOOKUP(Table1[[#This Row],[Called Node]],Nodes!A:E,5,0)</f>
        <v>1</v>
      </c>
    </row>
    <row r="691" spans="1:9" x14ac:dyDescent="0.3">
      <c r="A691" t="s">
        <v>350</v>
      </c>
      <c r="B691" t="str">
        <f>VLOOKUP(Table1[[#This Row],[Calling Node]],Nodes!A:B,2,0)</f>
        <v>test_set_encoding</v>
      </c>
      <c r="C691" t="s">
        <v>94</v>
      </c>
      <c r="D691" t="str">
        <f>VLOOKUP(Table1[[#This Row],[Called Node]],Nodes!A:B,2,0)</f>
        <v>set_encoding</v>
      </c>
      <c r="E691" s="3" t="str">
        <f>Table1[[#This Row],[Calling Node]]&amp;" -&gt; "&amp;Table1[[#This Row],[Called Node]]</f>
        <v>test_set_encoding -&gt; set_encoding</v>
      </c>
      <c r="F691">
        <f>VLOOKUP(Table1[[#This Row],[Calling Node]],Nodes!A:D,4,0)</f>
        <v>34</v>
      </c>
      <c r="G691">
        <f>VLOOKUP(Table1[[#This Row],[Calling Node]],Nodes!A:E,5,0)</f>
        <v>3</v>
      </c>
      <c r="H691">
        <f>VLOOKUP(Table1[[#This Row],[Called Node]],Nodes!A:D,4,0)</f>
        <v>21</v>
      </c>
      <c r="I691">
        <f>VLOOKUP(Table1[[#This Row],[Called Node]],Nodes!A:E,5,0)</f>
        <v>2</v>
      </c>
    </row>
    <row r="692" spans="1:9" x14ac:dyDescent="0.3">
      <c r="A692" t="s">
        <v>351</v>
      </c>
      <c r="B692" t="str">
        <f>VLOOKUP(Table1[[#This Row],[Calling Node]],Nodes!A:B,2,0)</f>
        <v>test_view_usage_homepage</v>
      </c>
      <c r="C692" t="s">
        <v>96</v>
      </c>
      <c r="D692" t="str">
        <f>VLOOKUP(Table1[[#This Row],[Called Node]],Nodes!A:B,2,0)</f>
        <v>view_usage_homepage</v>
      </c>
      <c r="E692" s="3" t="str">
        <f>Table1[[#This Row],[Calling Node]]&amp;" -&gt; "&amp;Table1[[#This Row],[Called Node]]</f>
        <v>test_view_usage_homepage -&gt; view_usage_homepage</v>
      </c>
      <c r="F692">
        <f>VLOOKUP(Table1[[#This Row],[Calling Node]],Nodes!A:D,4,0)</f>
        <v>34</v>
      </c>
      <c r="G692">
        <f>VLOOKUP(Table1[[#This Row],[Calling Node]],Nodes!A:E,5,0)</f>
        <v>4</v>
      </c>
      <c r="H692">
        <f>VLOOKUP(Table1[[#This Row],[Called Node]],Nodes!A:D,4,0)</f>
        <v>21</v>
      </c>
      <c r="I692">
        <f>VLOOKUP(Table1[[#This Row],[Called Node]],Nodes!A:E,5,0)</f>
        <v>4</v>
      </c>
    </row>
    <row r="693" spans="1:9" x14ac:dyDescent="0.3">
      <c r="A693" t="s">
        <v>351</v>
      </c>
      <c r="B693" t="str">
        <f>VLOOKUP(Table1[[#This Row],[Calling Node]],Nodes!A:B,2,0)</f>
        <v>test_view_usage_homepage</v>
      </c>
      <c r="C693" t="s">
        <v>217</v>
      </c>
      <c r="D693" t="str">
        <f>VLOOKUP(Table1[[#This Row],[Called Node]],Nodes!A:B,2,0)</f>
        <v>client</v>
      </c>
      <c r="E693" s="3" t="str">
        <f>Table1[[#This Row],[Calling Node]]&amp;" -&gt; "&amp;Table1[[#This Row],[Called Node]]</f>
        <v>test_view_usage_homepage -&gt; client</v>
      </c>
      <c r="F693">
        <f>VLOOKUP(Table1[[#This Row],[Calling Node]],Nodes!A:D,4,0)</f>
        <v>34</v>
      </c>
      <c r="G693">
        <f>VLOOKUP(Table1[[#This Row],[Calling Node]],Nodes!A:E,5,0)</f>
        <v>4</v>
      </c>
      <c r="H693">
        <f>VLOOKUP(Table1[[#This Row],[Called Node]],Nodes!A:D,4,0)</f>
        <v>25</v>
      </c>
      <c r="I693">
        <f>VLOOKUP(Table1[[#This Row],[Called Node]],Nodes!A:E,5,0)</f>
        <v>3</v>
      </c>
    </row>
    <row r="694" spans="1:9" x14ac:dyDescent="0.3">
      <c r="A694" t="s">
        <v>352</v>
      </c>
      <c r="B694" t="str">
        <f>VLOOKUP(Table1[[#This Row],[Calling Node]],Nodes!A:B,2,0)</f>
        <v>test_run_custom_SQL_query</v>
      </c>
      <c r="C694" t="s">
        <v>97</v>
      </c>
      <c r="D694" t="str">
        <f>VLOOKUP(Table1[[#This Row],[Called Node]],Nodes!A:B,2,0)</f>
        <v>run_custom_SQL_query</v>
      </c>
      <c r="E694" s="3" t="str">
        <f>Table1[[#This Row],[Calling Node]]&amp;" -&gt; "&amp;Table1[[#This Row],[Called Node]]</f>
        <v>test_run_custom_SQL_query -&gt; run_custom_SQL_query</v>
      </c>
      <c r="F694">
        <f>VLOOKUP(Table1[[#This Row],[Calling Node]],Nodes!A:D,4,0)</f>
        <v>34</v>
      </c>
      <c r="G694">
        <f>VLOOKUP(Table1[[#This Row],[Calling Node]],Nodes!A:E,5,0)</f>
        <v>5</v>
      </c>
      <c r="H694">
        <f>VLOOKUP(Table1[[#This Row],[Called Node]],Nodes!A:D,4,0)</f>
        <v>21</v>
      </c>
      <c r="I694">
        <f>VLOOKUP(Table1[[#This Row],[Called Node]],Nodes!A:E,5,0)</f>
        <v>5</v>
      </c>
    </row>
    <row r="695" spans="1:9" x14ac:dyDescent="0.3">
      <c r="A695" t="s">
        <v>352</v>
      </c>
      <c r="B695" t="str">
        <f>VLOOKUP(Table1[[#This Row],[Calling Node]],Nodes!A:B,2,0)</f>
        <v>test_run_custom_SQL_query</v>
      </c>
      <c r="C695" t="s">
        <v>217</v>
      </c>
      <c r="D695" t="str">
        <f>VLOOKUP(Table1[[#This Row],[Called Node]],Nodes!A:B,2,0)</f>
        <v>client</v>
      </c>
      <c r="E695" s="3" t="str">
        <f>Table1[[#This Row],[Calling Node]]&amp;" -&gt; "&amp;Table1[[#This Row],[Called Node]]</f>
        <v>test_run_custom_SQL_query -&gt; client</v>
      </c>
      <c r="F695">
        <f>VLOOKUP(Table1[[#This Row],[Calling Node]],Nodes!A:D,4,0)</f>
        <v>34</v>
      </c>
      <c r="G695">
        <f>VLOOKUP(Table1[[#This Row],[Calling Node]],Nodes!A:E,5,0)</f>
        <v>5</v>
      </c>
      <c r="H695">
        <f>VLOOKUP(Table1[[#This Row],[Called Node]],Nodes!A:D,4,0)</f>
        <v>25</v>
      </c>
      <c r="I695">
        <f>VLOOKUP(Table1[[#This Row],[Called Node]],Nodes!A:E,5,0)</f>
        <v>3</v>
      </c>
    </row>
    <row r="696" spans="1:9" x14ac:dyDescent="0.3">
      <c r="A696" t="s">
        <v>352</v>
      </c>
      <c r="B696" t="str">
        <f>VLOOKUP(Table1[[#This Row],[Calling Node]],Nodes!A:B,2,0)</f>
        <v>test_run_custom_SQL_query</v>
      </c>
      <c r="C696" t="s">
        <v>253</v>
      </c>
      <c r="D696" t="str">
        <f>VLOOKUP(Table1[[#This Row],[Called Node]],Nodes!A:B,2,0)</f>
        <v>header_value</v>
      </c>
      <c r="E696" s="3" t="str">
        <f>Table1[[#This Row],[Calling Node]]&amp;" -&gt; "&amp;Table1[[#This Row],[Called Node]]</f>
        <v>test_run_custom_SQL_query -&gt; header_value</v>
      </c>
      <c r="F696">
        <f>VLOOKUP(Table1[[#This Row],[Calling Node]],Nodes!A:D,4,0)</f>
        <v>34</v>
      </c>
      <c r="G696">
        <f>VLOOKUP(Table1[[#This Row],[Calling Node]],Nodes!A:E,5,0)</f>
        <v>5</v>
      </c>
      <c r="H696">
        <f>VLOOKUP(Table1[[#This Row],[Called Node]],Nodes!A:D,4,0)</f>
        <v>25</v>
      </c>
      <c r="I696">
        <f>VLOOKUP(Table1[[#This Row],[Called Node]],Nodes!A:E,5,0)</f>
        <v>39</v>
      </c>
    </row>
    <row r="697" spans="1:9" x14ac:dyDescent="0.3">
      <c r="A697" t="s">
        <v>352</v>
      </c>
      <c r="B697" t="str">
        <f>VLOOKUP(Table1[[#This Row],[Calling Node]],Nodes!A:B,2,0)</f>
        <v>test_run_custom_SQL_query</v>
      </c>
      <c r="C697" t="s">
        <v>348</v>
      </c>
      <c r="D697" t="str">
        <f>VLOOKUP(Table1[[#This Row],[Called Node]],Nodes!A:B,2,0)</f>
        <v>COUNTER_download_CSV</v>
      </c>
      <c r="E697" s="3" t="str">
        <f>Table1[[#This Row],[Calling Node]]&amp;" -&gt; "&amp;Table1[[#This Row],[Called Node]]</f>
        <v>test_run_custom_SQL_query -&gt; COUNTER_download_CSV</v>
      </c>
      <c r="F697">
        <f>VLOOKUP(Table1[[#This Row],[Calling Node]],Nodes!A:D,4,0)</f>
        <v>34</v>
      </c>
      <c r="G697">
        <f>VLOOKUP(Table1[[#This Row],[Calling Node]],Nodes!A:E,5,0)</f>
        <v>5</v>
      </c>
      <c r="H697">
        <f>VLOOKUP(Table1[[#This Row],[Called Node]],Nodes!A:D,4,0)</f>
        <v>34</v>
      </c>
      <c r="I697">
        <f>VLOOKUP(Table1[[#This Row],[Called Node]],Nodes!A:E,5,0)</f>
        <v>1</v>
      </c>
    </row>
    <row r="698" spans="1:9" x14ac:dyDescent="0.3">
      <c r="A698" t="s">
        <v>353</v>
      </c>
      <c r="B698" t="str">
        <f>VLOOKUP(Table1[[#This Row],[Calling Node]],Nodes!A:B,2,0)</f>
        <v>test_use_predefined_SQL_query</v>
      </c>
      <c r="C698" t="s">
        <v>55</v>
      </c>
      <c r="D698" s="2" t="str">
        <f>VLOOKUP(Table1[[#This Row],[Called Node]],Nodes!A:B,2,0)</f>
        <v>state_data_types</v>
      </c>
      <c r="E698" s="3" t="str">
        <f>Table1[[#This Row],[Calling Node]]&amp;" -&gt; "&amp;Table1[[#This Row],[Called Node]]</f>
        <v>test_use_predefined_SQL_query -&gt; state_data_types_in_COUNTERData</v>
      </c>
      <c r="F698">
        <f>VLOOKUP(Table1[[#This Row],[Calling Node]],Nodes!A:D,4,0)</f>
        <v>34</v>
      </c>
      <c r="G698">
        <f>VLOOKUP(Table1[[#This Row],[Calling Node]],Nodes!A:E,5,0)</f>
        <v>6</v>
      </c>
      <c r="H698">
        <f>VLOOKUP(Table1[[#This Row],[Called Node]],Nodes!A:D,4,0)</f>
        <v>12</v>
      </c>
      <c r="I698">
        <f>VLOOKUP(Table1[[#This Row],[Called Node]],Nodes!A:E,5,0)</f>
        <v>1</v>
      </c>
    </row>
    <row r="699" spans="1:9" x14ac:dyDescent="0.3">
      <c r="A699" t="s">
        <v>353</v>
      </c>
      <c r="B699" t="str">
        <f>VLOOKUP(Table1[[#This Row],[Calling Node]],Nodes!A:B,2,0)</f>
        <v>test_use_predefined_SQL_query</v>
      </c>
      <c r="C699" t="s">
        <v>98</v>
      </c>
      <c r="D699" t="str">
        <f>VLOOKUP(Table1[[#This Row],[Called Node]],Nodes!A:B,2,0)</f>
        <v>use_predefined_SQL_query</v>
      </c>
      <c r="E699" s="3" t="str">
        <f>Table1[[#This Row],[Calling Node]]&amp;" -&gt; "&amp;Table1[[#This Row],[Called Node]]</f>
        <v>test_use_predefined_SQL_query -&gt; use_predefined_SQL_query</v>
      </c>
      <c r="F699">
        <f>VLOOKUP(Table1[[#This Row],[Calling Node]],Nodes!A:D,4,0)</f>
        <v>34</v>
      </c>
      <c r="G699">
        <f>VLOOKUP(Table1[[#This Row],[Calling Node]],Nodes!A:E,5,0)</f>
        <v>6</v>
      </c>
      <c r="H699">
        <f>VLOOKUP(Table1[[#This Row],[Called Node]],Nodes!A:D,4,0)</f>
        <v>21</v>
      </c>
      <c r="I699">
        <f>VLOOKUP(Table1[[#This Row],[Called Node]],Nodes!A:E,5,0)</f>
        <v>6</v>
      </c>
    </row>
    <row r="700" spans="1:9" x14ac:dyDescent="0.3">
      <c r="A700" t="s">
        <v>353</v>
      </c>
      <c r="B700" t="str">
        <f>VLOOKUP(Table1[[#This Row],[Calling Node]],Nodes!A:B,2,0)</f>
        <v>test_use_predefined_SQL_query</v>
      </c>
      <c r="C700" t="s">
        <v>123</v>
      </c>
      <c r="D700" t="str">
        <f>VLOOKUP(Table1[[#This Row],[Called Node]],Nodes!A:B,2,0)</f>
        <v>query_database</v>
      </c>
      <c r="E700" s="3" t="str">
        <f>Table1[[#This Row],[Calling Node]]&amp;" -&gt; "&amp;Table1[[#This Row],[Called Node]]</f>
        <v>test_use_predefined_SQL_query -&gt; query_database</v>
      </c>
      <c r="F700">
        <f>VLOOKUP(Table1[[#This Row],[Calling Node]],Nodes!A:D,4,0)</f>
        <v>34</v>
      </c>
      <c r="G700">
        <f>VLOOKUP(Table1[[#This Row],[Calling Node]],Nodes!A:E,5,0)</f>
        <v>6</v>
      </c>
      <c r="H700">
        <f>VLOOKUP(Table1[[#This Row],[Called Node]],Nodes!A:D,4,0)</f>
        <v>22</v>
      </c>
      <c r="I700">
        <f>VLOOKUP(Table1[[#This Row],[Called Node]],Nodes!A:E,5,0)</f>
        <v>17</v>
      </c>
    </row>
    <row r="701" spans="1:9" x14ac:dyDescent="0.3">
      <c r="A701" t="s">
        <v>353</v>
      </c>
      <c r="B701" t="str">
        <f>VLOOKUP(Table1[[#This Row],[Calling Node]],Nodes!A:B,2,0)</f>
        <v>test_use_predefined_SQL_query</v>
      </c>
      <c r="C701" t="s">
        <v>155</v>
      </c>
      <c r="D701" t="str">
        <f>VLOOKUP(Table1[[#This Row],[Called Node]],Nodes!A:B,2,0)</f>
        <v>database_function_skip_statements</v>
      </c>
      <c r="E701" s="3" t="str">
        <f>Table1[[#This Row],[Calling Node]]&amp;" -&gt; "&amp;Table1[[#This Row],[Called Node]]</f>
        <v>test_use_predefined_SQL_query -&gt; database_function_skip_statements</v>
      </c>
      <c r="F701">
        <f>VLOOKUP(Table1[[#This Row],[Calling Node]],Nodes!A:D,4,0)</f>
        <v>34</v>
      </c>
      <c r="G701">
        <f>VLOOKUP(Table1[[#This Row],[Calling Node]],Nodes!A:E,5,0)</f>
        <v>6</v>
      </c>
      <c r="H701">
        <f>VLOOKUP(Table1[[#This Row],[Called Node]],Nodes!A:D,4,0)</f>
        <v>23</v>
      </c>
      <c r="I701">
        <f>VLOOKUP(Table1[[#This Row],[Called Node]],Nodes!A:E,5,0)</f>
        <v>21</v>
      </c>
    </row>
    <row r="702" spans="1:9" x14ac:dyDescent="0.3">
      <c r="A702" t="s">
        <v>353</v>
      </c>
      <c r="B702" t="str">
        <f>VLOOKUP(Table1[[#This Row],[Calling Node]],Nodes!A:B,2,0)</f>
        <v>test_use_predefined_SQL_query</v>
      </c>
      <c r="C702" t="s">
        <v>215</v>
      </c>
      <c r="D702" t="str">
        <f>VLOOKUP(Table1[[#This Row],[Called Node]],Nodes!A:B,2,0)</f>
        <v>engine</v>
      </c>
      <c r="E702" s="3" t="str">
        <f>Table1[[#This Row],[Calling Node]]&amp;" -&gt; "&amp;Table1[[#This Row],[Called Node]]</f>
        <v>test_use_predefined_SQL_query -&gt; engine</v>
      </c>
      <c r="F702">
        <f>VLOOKUP(Table1[[#This Row],[Calling Node]],Nodes!A:D,4,0)</f>
        <v>34</v>
      </c>
      <c r="G702">
        <f>VLOOKUP(Table1[[#This Row],[Calling Node]],Nodes!A:E,5,0)</f>
        <v>6</v>
      </c>
      <c r="H702">
        <f>VLOOKUP(Table1[[#This Row],[Called Node]],Nodes!A:D,4,0)</f>
        <v>25</v>
      </c>
      <c r="I702">
        <f>VLOOKUP(Table1[[#This Row],[Called Node]],Nodes!A:E,5,0)</f>
        <v>1</v>
      </c>
    </row>
    <row r="703" spans="1:9" x14ac:dyDescent="0.3">
      <c r="A703" t="s">
        <v>353</v>
      </c>
      <c r="B703" t="str">
        <f>VLOOKUP(Table1[[#This Row],[Calling Node]],Nodes!A:B,2,0)</f>
        <v>test_use_predefined_SQL_query</v>
      </c>
      <c r="C703" t="s">
        <v>217</v>
      </c>
      <c r="D703" t="str">
        <f>VLOOKUP(Table1[[#This Row],[Called Node]],Nodes!A:B,2,0)</f>
        <v>client</v>
      </c>
      <c r="E703" s="3" t="str">
        <f>Table1[[#This Row],[Calling Node]]&amp;" -&gt; "&amp;Table1[[#This Row],[Called Node]]</f>
        <v>test_use_predefined_SQL_query -&gt; client</v>
      </c>
      <c r="F703">
        <f>VLOOKUP(Table1[[#This Row],[Calling Node]],Nodes!A:D,4,0)</f>
        <v>34</v>
      </c>
      <c r="G703">
        <f>VLOOKUP(Table1[[#This Row],[Calling Node]],Nodes!A:E,5,0)</f>
        <v>6</v>
      </c>
      <c r="H703">
        <f>VLOOKUP(Table1[[#This Row],[Called Node]],Nodes!A:D,4,0)</f>
        <v>25</v>
      </c>
      <c r="I703">
        <f>VLOOKUP(Table1[[#This Row],[Called Node]],Nodes!A:E,5,0)</f>
        <v>3</v>
      </c>
    </row>
    <row r="704" spans="1:9" x14ac:dyDescent="0.3">
      <c r="A704" t="s">
        <v>353</v>
      </c>
      <c r="B704" t="str">
        <f>VLOOKUP(Table1[[#This Row],[Calling Node]],Nodes!A:B,2,0)</f>
        <v>test_use_predefined_SQL_query</v>
      </c>
      <c r="C704" t="s">
        <v>253</v>
      </c>
      <c r="D704" t="str">
        <f>VLOOKUP(Table1[[#This Row],[Called Node]],Nodes!A:B,2,0)</f>
        <v>header_value</v>
      </c>
      <c r="E704" s="3" t="str">
        <f>Table1[[#This Row],[Calling Node]]&amp;" -&gt; "&amp;Table1[[#This Row],[Called Node]]</f>
        <v>test_use_predefined_SQL_query -&gt; header_value</v>
      </c>
      <c r="F704">
        <f>VLOOKUP(Table1[[#This Row],[Calling Node]],Nodes!A:D,4,0)</f>
        <v>34</v>
      </c>
      <c r="G704">
        <f>VLOOKUP(Table1[[#This Row],[Calling Node]],Nodes!A:E,5,0)</f>
        <v>6</v>
      </c>
      <c r="H704">
        <f>VLOOKUP(Table1[[#This Row],[Called Node]],Nodes!A:D,4,0)</f>
        <v>25</v>
      </c>
      <c r="I704">
        <f>VLOOKUP(Table1[[#This Row],[Called Node]],Nodes!A:E,5,0)</f>
        <v>39</v>
      </c>
    </row>
    <row r="705" spans="1:9" x14ac:dyDescent="0.3">
      <c r="A705" t="s">
        <v>353</v>
      </c>
      <c r="B705" t="str">
        <f>VLOOKUP(Table1[[#This Row],[Calling Node]],Nodes!A:B,2,0)</f>
        <v>test_use_predefined_SQL_query</v>
      </c>
      <c r="C705" t="s">
        <v>348</v>
      </c>
      <c r="D705" t="str">
        <f>VLOOKUP(Table1[[#This Row],[Called Node]],Nodes!A:B,2,0)</f>
        <v>COUNTER_download_CSV</v>
      </c>
      <c r="E705" s="3" t="str">
        <f>Table1[[#This Row],[Calling Node]]&amp;" -&gt; "&amp;Table1[[#This Row],[Called Node]]</f>
        <v>test_use_predefined_SQL_query -&gt; COUNTER_download_CSV</v>
      </c>
      <c r="F705">
        <f>VLOOKUP(Table1[[#This Row],[Calling Node]],Nodes!A:D,4,0)</f>
        <v>34</v>
      </c>
      <c r="G705">
        <f>VLOOKUP(Table1[[#This Row],[Calling Node]],Nodes!A:E,5,0)</f>
        <v>6</v>
      </c>
      <c r="H705">
        <f>VLOOKUP(Table1[[#This Row],[Called Node]],Nodes!A:D,4,0)</f>
        <v>34</v>
      </c>
      <c r="I705">
        <f>VLOOKUP(Table1[[#This Row],[Called Node]],Nodes!A:E,5,0)</f>
        <v>1</v>
      </c>
    </row>
    <row r="706" spans="1:9" x14ac:dyDescent="0.3">
      <c r="A706" t="s">
        <v>354</v>
      </c>
      <c r="B706" t="str">
        <f>VLOOKUP(Table1[[#This Row],[Calling Node]],Nodes!A:B,2,0)</f>
        <v>start_query_wizard_form_data</v>
      </c>
      <c r="C706" t="s">
        <v>115</v>
      </c>
      <c r="D706" t="str">
        <f>VLOOKUP(Table1[[#This Row],[Called Node]],Nodes!A:B,2,0)</f>
        <v>last_day_of_month</v>
      </c>
      <c r="E706" s="3" t="str">
        <f>Table1[[#This Row],[Calling Node]]&amp;" -&gt; "&amp;Table1[[#This Row],[Called Node]]</f>
        <v>start_query_wizard_form_data -&gt; last_day_of_month</v>
      </c>
      <c r="F706">
        <f>VLOOKUP(Table1[[#This Row],[Calling Node]],Nodes!A:D,4,0)</f>
        <v>34</v>
      </c>
      <c r="G706">
        <f>VLOOKUP(Table1[[#This Row],[Calling Node]],Nodes!A:E,5,0)</f>
        <v>7</v>
      </c>
      <c r="H706">
        <f>VLOOKUP(Table1[[#This Row],[Called Node]],Nodes!A:D,4,0)</f>
        <v>22</v>
      </c>
      <c r="I706">
        <f>VLOOKUP(Table1[[#This Row],[Called Node]],Nodes!A:E,5,0)</f>
        <v>9</v>
      </c>
    </row>
    <row r="707" spans="1:9" x14ac:dyDescent="0.3">
      <c r="A707" t="s">
        <v>354</v>
      </c>
      <c r="B707" t="str">
        <f>VLOOKUP(Table1[[#This Row],[Calling Node]],Nodes!A:B,2,0)</f>
        <v>start_query_wizard_form_data</v>
      </c>
      <c r="C707" t="s">
        <v>155</v>
      </c>
      <c r="D707" t="str">
        <f>VLOOKUP(Table1[[#This Row],[Called Node]],Nodes!A:B,2,0)</f>
        <v>database_function_skip_statements</v>
      </c>
      <c r="E707" s="3" t="str">
        <f>Table1[[#This Row],[Calling Node]]&amp;" -&gt; "&amp;Table1[[#This Row],[Called Node]]</f>
        <v>start_query_wizard_form_data -&gt; database_function_skip_statements</v>
      </c>
      <c r="F707">
        <f>VLOOKUP(Table1[[#This Row],[Calling Node]],Nodes!A:D,4,0)</f>
        <v>34</v>
      </c>
      <c r="G707">
        <f>VLOOKUP(Table1[[#This Row],[Calling Node]],Nodes!A:E,5,0)</f>
        <v>7</v>
      </c>
      <c r="H707">
        <f>VLOOKUP(Table1[[#This Row],[Called Node]],Nodes!A:D,4,0)</f>
        <v>23</v>
      </c>
      <c r="I707">
        <f>VLOOKUP(Table1[[#This Row],[Called Node]],Nodes!A:E,5,0)</f>
        <v>21</v>
      </c>
    </row>
    <row r="708" spans="1:9" x14ac:dyDescent="0.3">
      <c r="A708" t="s">
        <v>354</v>
      </c>
      <c r="B708" t="str">
        <f>VLOOKUP(Table1[[#This Row],[Calling Node]],Nodes!A:B,2,0)</f>
        <v>start_query_wizard_form_data</v>
      </c>
      <c r="C708" t="s">
        <v>215</v>
      </c>
      <c r="D708" t="str">
        <f>VLOOKUP(Table1[[#This Row],[Called Node]],Nodes!A:B,2,0)</f>
        <v>engine</v>
      </c>
      <c r="E708" s="3" t="str">
        <f>Table1[[#This Row],[Calling Node]]&amp;" -&gt; "&amp;Table1[[#This Row],[Called Node]]</f>
        <v>start_query_wizard_form_data -&gt; engine</v>
      </c>
      <c r="F708">
        <f>VLOOKUP(Table1[[#This Row],[Calling Node]],Nodes!A:D,4,0)</f>
        <v>34</v>
      </c>
      <c r="G708">
        <f>VLOOKUP(Table1[[#This Row],[Calling Node]],Nodes!A:E,5,0)</f>
        <v>7</v>
      </c>
      <c r="H708">
        <f>VLOOKUP(Table1[[#This Row],[Called Node]],Nodes!A:D,4,0)</f>
        <v>25</v>
      </c>
      <c r="I708">
        <f>VLOOKUP(Table1[[#This Row],[Called Node]],Nodes!A:E,5,0)</f>
        <v>1</v>
      </c>
    </row>
    <row r="709" spans="1:9" x14ac:dyDescent="0.3">
      <c r="A709" t="s">
        <v>355</v>
      </c>
      <c r="B709" t="str">
        <f>VLOOKUP(Table1[[#This Row],[Calling Node]],Nodes!A:B,2,0)</f>
        <v>test_start_query_wizard</v>
      </c>
      <c r="C709" t="s">
        <v>99</v>
      </c>
      <c r="D709" t="str">
        <f>VLOOKUP(Table1[[#This Row],[Called Node]],Nodes!A:B,2,0)</f>
        <v>start_query_wizard</v>
      </c>
      <c r="E709" s="3" t="str">
        <f>Table1[[#This Row],[Calling Node]]&amp;" -&gt; "&amp;Table1[[#This Row],[Called Node]]</f>
        <v>test_start_query_wizard -&gt; start_query_wizard</v>
      </c>
      <c r="F709">
        <f>VLOOKUP(Table1[[#This Row],[Calling Node]],Nodes!A:D,4,0)</f>
        <v>34</v>
      </c>
      <c r="G709">
        <f>VLOOKUP(Table1[[#This Row],[Calling Node]],Nodes!A:E,5,0)</f>
        <v>8</v>
      </c>
      <c r="H709">
        <f>VLOOKUP(Table1[[#This Row],[Called Node]],Nodes!A:D,4,0)</f>
        <v>21</v>
      </c>
      <c r="I709">
        <f>VLOOKUP(Table1[[#This Row],[Called Node]],Nodes!A:E,5,0)</f>
        <v>7</v>
      </c>
    </row>
    <row r="710" spans="1:9" x14ac:dyDescent="0.3">
      <c r="A710" t="s">
        <v>355</v>
      </c>
      <c r="B710" t="str">
        <f>VLOOKUP(Table1[[#This Row],[Calling Node]],Nodes!A:B,2,0)</f>
        <v>test_start_query_wizard</v>
      </c>
      <c r="C710" t="s">
        <v>217</v>
      </c>
      <c r="D710" t="str">
        <f>VLOOKUP(Table1[[#This Row],[Called Node]],Nodes!A:B,2,0)</f>
        <v>client</v>
      </c>
      <c r="E710" s="3" t="str">
        <f>Table1[[#This Row],[Calling Node]]&amp;" -&gt; "&amp;Table1[[#This Row],[Called Node]]</f>
        <v>test_start_query_wizard -&gt; client</v>
      </c>
      <c r="F710">
        <f>VLOOKUP(Table1[[#This Row],[Calling Node]],Nodes!A:D,4,0)</f>
        <v>34</v>
      </c>
      <c r="G710">
        <f>VLOOKUP(Table1[[#This Row],[Calling Node]],Nodes!A:E,5,0)</f>
        <v>8</v>
      </c>
      <c r="H710">
        <f>VLOOKUP(Table1[[#This Row],[Called Node]],Nodes!A:D,4,0)</f>
        <v>25</v>
      </c>
      <c r="I710">
        <f>VLOOKUP(Table1[[#This Row],[Called Node]],Nodes!A:E,5,0)</f>
        <v>3</v>
      </c>
    </row>
    <row r="711" spans="1:9" x14ac:dyDescent="0.3">
      <c r="A711" t="s">
        <v>355</v>
      </c>
      <c r="B711" t="str">
        <f>VLOOKUP(Table1[[#This Row],[Calling Node]],Nodes!A:B,2,0)</f>
        <v>test_start_query_wizard</v>
      </c>
      <c r="C711" t="s">
        <v>253</v>
      </c>
      <c r="D711" t="str">
        <f>VLOOKUP(Table1[[#This Row],[Called Node]],Nodes!A:B,2,0)</f>
        <v>header_value</v>
      </c>
      <c r="E711" s="3" t="str">
        <f>Table1[[#This Row],[Calling Node]]&amp;" -&gt; "&amp;Table1[[#This Row],[Called Node]]</f>
        <v>test_start_query_wizard -&gt; header_value</v>
      </c>
      <c r="F711">
        <f>VLOOKUP(Table1[[#This Row],[Calling Node]],Nodes!A:D,4,0)</f>
        <v>34</v>
      </c>
      <c r="G711">
        <f>VLOOKUP(Table1[[#This Row],[Calling Node]],Nodes!A:E,5,0)</f>
        <v>8</v>
      </c>
      <c r="H711">
        <f>VLOOKUP(Table1[[#This Row],[Called Node]],Nodes!A:D,4,0)</f>
        <v>25</v>
      </c>
      <c r="I711">
        <f>VLOOKUP(Table1[[#This Row],[Called Node]],Nodes!A:E,5,0)</f>
        <v>39</v>
      </c>
    </row>
    <row r="712" spans="1:9" x14ac:dyDescent="0.3">
      <c r="A712" t="s">
        <v>355</v>
      </c>
      <c r="B712" t="str">
        <f>VLOOKUP(Table1[[#This Row],[Calling Node]],Nodes!A:B,2,0)</f>
        <v>test_start_query_wizard</v>
      </c>
      <c r="C712" t="s">
        <v>354</v>
      </c>
      <c r="D712" t="str">
        <f>VLOOKUP(Table1[[#This Row],[Called Node]],Nodes!A:B,2,0)</f>
        <v>start_query_wizard_form_data</v>
      </c>
      <c r="E712" s="3" t="str">
        <f>Table1[[#This Row],[Calling Node]]&amp;" -&gt; "&amp;Table1[[#This Row],[Called Node]]</f>
        <v>test_start_query_wizard -&gt; start_query_wizard_form_data</v>
      </c>
      <c r="F712">
        <f>VLOOKUP(Table1[[#This Row],[Calling Node]],Nodes!A:D,4,0)</f>
        <v>34</v>
      </c>
      <c r="G712">
        <f>VLOOKUP(Table1[[#This Row],[Calling Node]],Nodes!A:E,5,0)</f>
        <v>8</v>
      </c>
      <c r="H712">
        <f>VLOOKUP(Table1[[#This Row],[Called Node]],Nodes!A:D,4,0)</f>
        <v>34</v>
      </c>
      <c r="I712">
        <f>VLOOKUP(Table1[[#This Row],[Called Node]],Nodes!A:E,5,0)</f>
        <v>7</v>
      </c>
    </row>
    <row r="713" spans="1:9" x14ac:dyDescent="0.3">
      <c r="A713" t="s">
        <v>356</v>
      </c>
      <c r="B713" t="str">
        <f>VLOOKUP(Table1[[#This Row],[Calling Node]],Nodes!A:B,2,0)</f>
        <v>test_GET_query_wizard_sort_redirect</v>
      </c>
      <c r="C713" t="s">
        <v>99</v>
      </c>
      <c r="D713" t="str">
        <f>VLOOKUP(Table1[[#This Row],[Called Node]],Nodes!A:B,2,0)</f>
        <v>start_query_wizard</v>
      </c>
      <c r="E713" s="3" t="str">
        <f>Table1[[#This Row],[Calling Node]]&amp;" -&gt; "&amp;Table1[[#This Row],[Called Node]]</f>
        <v>test_GET_query_wizard_sort_redirect -&gt; start_query_wizard</v>
      </c>
      <c r="F713">
        <f>VLOOKUP(Table1[[#This Row],[Calling Node]],Nodes!A:D,4,0)</f>
        <v>34</v>
      </c>
      <c r="G713">
        <f>VLOOKUP(Table1[[#This Row],[Calling Node]],Nodes!A:E,5,0)</f>
        <v>9</v>
      </c>
      <c r="H713">
        <f>VLOOKUP(Table1[[#This Row],[Called Node]],Nodes!A:D,4,0)</f>
        <v>21</v>
      </c>
      <c r="I713">
        <f>VLOOKUP(Table1[[#This Row],[Called Node]],Nodes!A:E,5,0)</f>
        <v>7</v>
      </c>
    </row>
    <row r="714" spans="1:9" x14ac:dyDescent="0.3">
      <c r="A714" t="s">
        <v>356</v>
      </c>
      <c r="B714" t="str">
        <f>VLOOKUP(Table1[[#This Row],[Calling Node]],Nodes!A:B,2,0)</f>
        <v>test_GET_query_wizard_sort_redirect</v>
      </c>
      <c r="C714" t="s">
        <v>217</v>
      </c>
      <c r="D714" t="str">
        <f>VLOOKUP(Table1[[#This Row],[Called Node]],Nodes!A:B,2,0)</f>
        <v>client</v>
      </c>
      <c r="E714" s="3" t="str">
        <f>Table1[[#This Row],[Calling Node]]&amp;" -&gt; "&amp;Table1[[#This Row],[Called Node]]</f>
        <v>test_GET_query_wizard_sort_redirect -&gt; client</v>
      </c>
      <c r="F714">
        <f>VLOOKUP(Table1[[#This Row],[Calling Node]],Nodes!A:D,4,0)</f>
        <v>34</v>
      </c>
      <c r="G714">
        <f>VLOOKUP(Table1[[#This Row],[Calling Node]],Nodes!A:E,5,0)</f>
        <v>9</v>
      </c>
      <c r="H714">
        <f>VLOOKUP(Table1[[#This Row],[Called Node]],Nodes!A:D,4,0)</f>
        <v>25</v>
      </c>
      <c r="I714">
        <f>VLOOKUP(Table1[[#This Row],[Called Node]],Nodes!A:E,5,0)</f>
        <v>3</v>
      </c>
    </row>
    <row r="715" spans="1:9" x14ac:dyDescent="0.3">
      <c r="A715" t="s">
        <v>356</v>
      </c>
      <c r="B715" t="str">
        <f>VLOOKUP(Table1[[#This Row],[Calling Node]],Nodes!A:B,2,0)</f>
        <v>test_GET_query_wizard_sort_redirect</v>
      </c>
      <c r="C715" t="s">
        <v>253</v>
      </c>
      <c r="D715" t="str">
        <f>VLOOKUP(Table1[[#This Row],[Called Node]],Nodes!A:B,2,0)</f>
        <v>header_value</v>
      </c>
      <c r="E715" s="3" t="str">
        <f>Table1[[#This Row],[Calling Node]]&amp;" -&gt; "&amp;Table1[[#This Row],[Called Node]]</f>
        <v>test_GET_query_wizard_sort_redirect -&gt; header_value</v>
      </c>
      <c r="F715">
        <f>VLOOKUP(Table1[[#This Row],[Calling Node]],Nodes!A:D,4,0)</f>
        <v>34</v>
      </c>
      <c r="G715">
        <f>VLOOKUP(Table1[[#This Row],[Calling Node]],Nodes!A:E,5,0)</f>
        <v>9</v>
      </c>
      <c r="H715">
        <f>VLOOKUP(Table1[[#This Row],[Called Node]],Nodes!A:D,4,0)</f>
        <v>25</v>
      </c>
      <c r="I715">
        <f>VLOOKUP(Table1[[#This Row],[Called Node]],Nodes!A:E,5,0)</f>
        <v>39</v>
      </c>
    </row>
    <row r="716" spans="1:9" x14ac:dyDescent="0.3">
      <c r="A716" t="s">
        <v>356</v>
      </c>
      <c r="B716" t="str">
        <f>VLOOKUP(Table1[[#This Row],[Calling Node]],Nodes!A:B,2,0)</f>
        <v>test_GET_query_wizard_sort_redirect</v>
      </c>
      <c r="C716" t="s">
        <v>354</v>
      </c>
      <c r="D716" t="str">
        <f>VLOOKUP(Table1[[#This Row],[Called Node]],Nodes!A:B,2,0)</f>
        <v>start_query_wizard_form_data</v>
      </c>
      <c r="E716" s="3" t="str">
        <f>Table1[[#This Row],[Calling Node]]&amp;" -&gt; "&amp;Table1[[#This Row],[Called Node]]</f>
        <v>test_GET_query_wizard_sort_redirect -&gt; start_query_wizard_form_data</v>
      </c>
      <c r="F716">
        <f>VLOOKUP(Table1[[#This Row],[Calling Node]],Nodes!A:D,4,0)</f>
        <v>34</v>
      </c>
      <c r="G716">
        <f>VLOOKUP(Table1[[#This Row],[Calling Node]],Nodes!A:E,5,0)</f>
        <v>9</v>
      </c>
      <c r="H716">
        <f>VLOOKUP(Table1[[#This Row],[Called Node]],Nodes!A:D,4,0)</f>
        <v>34</v>
      </c>
      <c r="I716">
        <f>VLOOKUP(Table1[[#This Row],[Called Node]],Nodes!A:E,5,0)</f>
        <v>7</v>
      </c>
    </row>
    <row r="717" spans="1:9" x14ac:dyDescent="0.3">
      <c r="A717" t="s">
        <v>358</v>
      </c>
      <c r="B717" t="str">
        <f>VLOOKUP(Table1[[#This Row],[Calling Node]],Nodes!A:B,2,0)</f>
        <v>test_construct_PR_query_with_wizard</v>
      </c>
      <c r="C717" t="s">
        <v>55</v>
      </c>
      <c r="D717" s="2" t="str">
        <f>VLOOKUP(Table1[[#This Row],[Called Node]],Nodes!A:B,2,0)</f>
        <v>state_data_types</v>
      </c>
      <c r="E717" s="3" t="str">
        <f>Table1[[#This Row],[Calling Node]]&amp;" -&gt; "&amp;Table1[[#This Row],[Called Node]]</f>
        <v>test_construct_PR_query_with_wizard -&gt; state_data_types_in_COUNTERData</v>
      </c>
      <c r="F717">
        <f>VLOOKUP(Table1[[#This Row],[Calling Node]],Nodes!A:D,4,0)</f>
        <v>34</v>
      </c>
      <c r="G717">
        <f>VLOOKUP(Table1[[#This Row],[Calling Node]],Nodes!A:E,5,0)</f>
        <v>11</v>
      </c>
      <c r="H717">
        <f>VLOOKUP(Table1[[#This Row],[Called Node]],Nodes!A:D,4,0)</f>
        <v>12</v>
      </c>
      <c r="I717">
        <f>VLOOKUP(Table1[[#This Row],[Called Node]],Nodes!A:E,5,0)</f>
        <v>1</v>
      </c>
    </row>
    <row r="718" spans="1:9" x14ac:dyDescent="0.3">
      <c r="A718" t="s">
        <v>358</v>
      </c>
      <c r="B718" t="str">
        <f>VLOOKUP(Table1[[#This Row],[Calling Node]],Nodes!A:B,2,0)</f>
        <v>test_construct_PR_query_with_wizard</v>
      </c>
      <c r="C718" t="s">
        <v>101</v>
      </c>
      <c r="D718" t="str">
        <f>VLOOKUP(Table1[[#This Row],[Called Node]],Nodes!A:B,2,0)</f>
        <v>construct_PR_query_with_wizard</v>
      </c>
      <c r="E718" s="3" t="str">
        <f>Table1[[#This Row],[Calling Node]]&amp;" -&gt; "&amp;Table1[[#This Row],[Called Node]]</f>
        <v>test_construct_PR_query_with_wizard -&gt; construct_PR_query_with_wizard</v>
      </c>
      <c r="F718">
        <f>VLOOKUP(Table1[[#This Row],[Calling Node]],Nodes!A:D,4,0)</f>
        <v>34</v>
      </c>
      <c r="G718">
        <f>VLOOKUP(Table1[[#This Row],[Calling Node]],Nodes!A:E,5,0)</f>
        <v>11</v>
      </c>
      <c r="H718">
        <f>VLOOKUP(Table1[[#This Row],[Called Node]],Nodes!A:D,4,0)</f>
        <v>21</v>
      </c>
      <c r="I718">
        <f>VLOOKUP(Table1[[#This Row],[Called Node]],Nodes!A:E,5,0)</f>
        <v>9</v>
      </c>
    </row>
    <row r="719" spans="1:9" x14ac:dyDescent="0.3">
      <c r="A719" t="s">
        <v>358</v>
      </c>
      <c r="B719" t="str">
        <f>VLOOKUP(Table1[[#This Row],[Calling Node]],Nodes!A:B,2,0)</f>
        <v>test_construct_PR_query_with_wizard</v>
      </c>
      <c r="C719" t="s">
        <v>117</v>
      </c>
      <c r="D719" t="str">
        <f>VLOOKUP(Table1[[#This Row],[Called Node]],Nodes!A:B,2,0)</f>
        <v>return_string_of_dataframe_info</v>
      </c>
      <c r="E719" s="3" t="str">
        <f>Table1[[#This Row],[Calling Node]]&amp;" -&gt; "&amp;Table1[[#This Row],[Called Node]]</f>
        <v>test_construct_PR_query_with_wizard -&gt; return_string_of_dataframe_info</v>
      </c>
      <c r="F719">
        <f>VLOOKUP(Table1[[#This Row],[Calling Node]],Nodes!A:D,4,0)</f>
        <v>34</v>
      </c>
      <c r="G719">
        <f>VLOOKUP(Table1[[#This Row],[Calling Node]],Nodes!A:E,5,0)</f>
        <v>11</v>
      </c>
      <c r="H719">
        <f>VLOOKUP(Table1[[#This Row],[Called Node]],Nodes!A:D,4,0)</f>
        <v>22</v>
      </c>
      <c r="I719">
        <f>VLOOKUP(Table1[[#This Row],[Called Node]],Nodes!A:E,5,0)</f>
        <v>11</v>
      </c>
    </row>
    <row r="720" spans="1:9" x14ac:dyDescent="0.3">
      <c r="A720" t="s">
        <v>358</v>
      </c>
      <c r="B720" t="str">
        <f>VLOOKUP(Table1[[#This Row],[Calling Node]],Nodes!A:B,2,0)</f>
        <v>test_construct_PR_query_with_wizard</v>
      </c>
      <c r="C720" t="s">
        <v>123</v>
      </c>
      <c r="D720" t="str">
        <f>VLOOKUP(Table1[[#This Row],[Called Node]],Nodes!A:B,2,0)</f>
        <v>query_database</v>
      </c>
      <c r="E720" s="3" t="str">
        <f>Table1[[#This Row],[Calling Node]]&amp;" -&gt; "&amp;Table1[[#This Row],[Called Node]]</f>
        <v>test_construct_PR_query_with_wizard -&gt; query_database</v>
      </c>
      <c r="F720">
        <f>VLOOKUP(Table1[[#This Row],[Calling Node]],Nodes!A:D,4,0)</f>
        <v>34</v>
      </c>
      <c r="G720">
        <f>VLOOKUP(Table1[[#This Row],[Calling Node]],Nodes!A:E,5,0)</f>
        <v>11</v>
      </c>
      <c r="H720">
        <f>VLOOKUP(Table1[[#This Row],[Called Node]],Nodes!A:D,4,0)</f>
        <v>22</v>
      </c>
      <c r="I720">
        <f>VLOOKUP(Table1[[#This Row],[Called Node]],Nodes!A:E,5,0)</f>
        <v>17</v>
      </c>
    </row>
    <row r="721" spans="1:9" x14ac:dyDescent="0.3">
      <c r="A721" t="s">
        <v>358</v>
      </c>
      <c r="B721" t="str">
        <f>VLOOKUP(Table1[[#This Row],[Calling Node]],Nodes!A:B,2,0)</f>
        <v>test_construct_PR_query_with_wizard</v>
      </c>
      <c r="C721" t="s">
        <v>145</v>
      </c>
      <c r="D721" t="str">
        <f>VLOOKUP(Table1[[#This Row],[Called Node]],Nodes!A:B,2,0)</f>
        <v>check_if_file_exists_statement</v>
      </c>
      <c r="E721" s="3" t="str">
        <f>Table1[[#This Row],[Calling Node]]&amp;" -&gt; "&amp;Table1[[#This Row],[Called Node]]</f>
        <v>test_construct_PR_query_with_wizard -&gt; check_if_file_exists_statement</v>
      </c>
      <c r="F721">
        <f>VLOOKUP(Table1[[#This Row],[Calling Node]],Nodes!A:D,4,0)</f>
        <v>34</v>
      </c>
      <c r="G721">
        <f>VLOOKUP(Table1[[#This Row],[Calling Node]],Nodes!A:E,5,0)</f>
        <v>11</v>
      </c>
      <c r="H721">
        <f>VLOOKUP(Table1[[#This Row],[Called Node]],Nodes!A:D,4,0)</f>
        <v>23</v>
      </c>
      <c r="I721">
        <f>VLOOKUP(Table1[[#This Row],[Called Node]],Nodes!A:E,5,0)</f>
        <v>11</v>
      </c>
    </row>
    <row r="722" spans="1:9" x14ac:dyDescent="0.3">
      <c r="A722" t="s">
        <v>358</v>
      </c>
      <c r="B722" t="str">
        <f>VLOOKUP(Table1[[#This Row],[Calling Node]],Nodes!A:B,2,0)</f>
        <v>test_construct_PR_query_with_wizard</v>
      </c>
      <c r="C722" t="s">
        <v>155</v>
      </c>
      <c r="D722" t="str">
        <f>VLOOKUP(Table1[[#This Row],[Called Node]],Nodes!A:B,2,0)</f>
        <v>database_function_skip_statements</v>
      </c>
      <c r="E722" s="3" t="str">
        <f>Table1[[#This Row],[Calling Node]]&amp;" -&gt; "&amp;Table1[[#This Row],[Called Node]]</f>
        <v>test_construct_PR_query_with_wizard -&gt; database_function_skip_statements</v>
      </c>
      <c r="F722">
        <f>VLOOKUP(Table1[[#This Row],[Calling Node]],Nodes!A:D,4,0)</f>
        <v>34</v>
      </c>
      <c r="G722">
        <f>VLOOKUP(Table1[[#This Row],[Calling Node]],Nodes!A:E,5,0)</f>
        <v>11</v>
      </c>
      <c r="H722">
        <f>VLOOKUP(Table1[[#This Row],[Called Node]],Nodes!A:D,4,0)</f>
        <v>23</v>
      </c>
      <c r="I722">
        <f>VLOOKUP(Table1[[#This Row],[Called Node]],Nodes!A:E,5,0)</f>
        <v>21</v>
      </c>
    </row>
    <row r="723" spans="1:9" x14ac:dyDescent="0.3">
      <c r="A723" t="s">
        <v>358</v>
      </c>
      <c r="B723" t="str">
        <f>VLOOKUP(Table1[[#This Row],[Calling Node]],Nodes!A:B,2,0)</f>
        <v>test_construct_PR_query_with_wizard</v>
      </c>
      <c r="C723" t="s">
        <v>215</v>
      </c>
      <c r="D723" t="str">
        <f>VLOOKUP(Table1[[#This Row],[Called Node]],Nodes!A:B,2,0)</f>
        <v>engine</v>
      </c>
      <c r="E723" s="3" t="str">
        <f>Table1[[#This Row],[Calling Node]]&amp;" -&gt; "&amp;Table1[[#This Row],[Called Node]]</f>
        <v>test_construct_PR_query_with_wizard -&gt; engine</v>
      </c>
      <c r="F723">
        <f>VLOOKUP(Table1[[#This Row],[Calling Node]],Nodes!A:D,4,0)</f>
        <v>34</v>
      </c>
      <c r="G723">
        <f>VLOOKUP(Table1[[#This Row],[Calling Node]],Nodes!A:E,5,0)</f>
        <v>11</v>
      </c>
      <c r="H723">
        <f>VLOOKUP(Table1[[#This Row],[Called Node]],Nodes!A:D,4,0)</f>
        <v>25</v>
      </c>
      <c r="I723">
        <f>VLOOKUP(Table1[[#This Row],[Called Node]],Nodes!A:E,5,0)</f>
        <v>1</v>
      </c>
    </row>
    <row r="724" spans="1:9" x14ac:dyDescent="0.3">
      <c r="A724" t="s">
        <v>358</v>
      </c>
      <c r="B724" t="str">
        <f>VLOOKUP(Table1[[#This Row],[Calling Node]],Nodes!A:B,2,0)</f>
        <v>test_construct_PR_query_with_wizard</v>
      </c>
      <c r="C724" t="s">
        <v>217</v>
      </c>
      <c r="D724" t="str">
        <f>VLOOKUP(Table1[[#This Row],[Called Node]],Nodes!A:B,2,0)</f>
        <v>client</v>
      </c>
      <c r="E724" s="3" t="str">
        <f>Table1[[#This Row],[Calling Node]]&amp;" -&gt; "&amp;Table1[[#This Row],[Called Node]]</f>
        <v>test_construct_PR_query_with_wizard -&gt; client</v>
      </c>
      <c r="F724">
        <f>VLOOKUP(Table1[[#This Row],[Calling Node]],Nodes!A:D,4,0)</f>
        <v>34</v>
      </c>
      <c r="G724">
        <f>VLOOKUP(Table1[[#This Row],[Calling Node]],Nodes!A:E,5,0)</f>
        <v>11</v>
      </c>
      <c r="H724">
        <f>VLOOKUP(Table1[[#This Row],[Called Node]],Nodes!A:D,4,0)</f>
        <v>25</v>
      </c>
      <c r="I724">
        <f>VLOOKUP(Table1[[#This Row],[Called Node]],Nodes!A:E,5,0)</f>
        <v>3</v>
      </c>
    </row>
    <row r="725" spans="1:9" x14ac:dyDescent="0.3">
      <c r="A725" t="s">
        <v>358</v>
      </c>
      <c r="B725" t="str">
        <f>VLOOKUP(Table1[[#This Row],[Calling Node]],Nodes!A:B,2,0)</f>
        <v>test_construct_PR_query_with_wizard</v>
      </c>
      <c r="C725" t="s">
        <v>253</v>
      </c>
      <c r="D725" t="str">
        <f>VLOOKUP(Table1[[#This Row],[Called Node]],Nodes!A:B,2,0)</f>
        <v>header_value</v>
      </c>
      <c r="E725" s="3" t="str">
        <f>Table1[[#This Row],[Calling Node]]&amp;" -&gt; "&amp;Table1[[#This Row],[Called Node]]</f>
        <v>test_construct_PR_query_with_wizard -&gt; header_value</v>
      </c>
      <c r="F725">
        <f>VLOOKUP(Table1[[#This Row],[Calling Node]],Nodes!A:D,4,0)</f>
        <v>34</v>
      </c>
      <c r="G725">
        <f>VLOOKUP(Table1[[#This Row],[Calling Node]],Nodes!A:E,5,0)</f>
        <v>11</v>
      </c>
      <c r="H725">
        <f>VLOOKUP(Table1[[#This Row],[Called Node]],Nodes!A:D,4,0)</f>
        <v>25</v>
      </c>
      <c r="I725">
        <f>VLOOKUP(Table1[[#This Row],[Called Node]],Nodes!A:E,5,0)</f>
        <v>39</v>
      </c>
    </row>
    <row r="726" spans="1:9" x14ac:dyDescent="0.3">
      <c r="A726" t="s">
        <v>358</v>
      </c>
      <c r="B726" t="str">
        <f>VLOOKUP(Table1[[#This Row],[Calling Node]],Nodes!A:B,2,0)</f>
        <v>test_construct_PR_query_with_wizard</v>
      </c>
      <c r="C726" t="s">
        <v>348</v>
      </c>
      <c r="D726" t="str">
        <f>VLOOKUP(Table1[[#This Row],[Called Node]],Nodes!A:B,2,0)</f>
        <v>COUNTER_download_CSV</v>
      </c>
      <c r="E726" s="3" t="str">
        <f>Table1[[#This Row],[Calling Node]]&amp;" -&gt; "&amp;Table1[[#This Row],[Called Node]]</f>
        <v>test_construct_PR_query_with_wizard -&gt; COUNTER_download_CSV</v>
      </c>
      <c r="F726">
        <f>VLOOKUP(Table1[[#This Row],[Calling Node]],Nodes!A:D,4,0)</f>
        <v>34</v>
      </c>
      <c r="G726">
        <f>VLOOKUP(Table1[[#This Row],[Calling Node]],Nodes!A:E,5,0)</f>
        <v>11</v>
      </c>
      <c r="H726">
        <f>VLOOKUP(Table1[[#This Row],[Called Node]],Nodes!A:D,4,0)</f>
        <v>34</v>
      </c>
      <c r="I726">
        <f>VLOOKUP(Table1[[#This Row],[Called Node]],Nodes!A:E,5,0)</f>
        <v>1</v>
      </c>
    </row>
    <row r="727" spans="1:9" x14ac:dyDescent="0.3">
      <c r="A727" t="s">
        <v>358</v>
      </c>
      <c r="B727" t="str">
        <f>VLOOKUP(Table1[[#This Row],[Calling Node]],Nodes!A:B,2,0)</f>
        <v>test_construct_PR_query_with_wizard</v>
      </c>
      <c r="C727" t="s">
        <v>357</v>
      </c>
      <c r="D727" t="str">
        <f>VLOOKUP(Table1[[#This Row],[Called Node]],Nodes!A:B,2,0)</f>
        <v>PR_parameters</v>
      </c>
      <c r="E727" s="3" t="str">
        <f>Table1[[#This Row],[Calling Node]]&amp;" -&gt; "&amp;Table1[[#This Row],[Called Node]]</f>
        <v>test_construct_PR_query_with_wizard -&gt; PR_parameters</v>
      </c>
      <c r="F727">
        <f>VLOOKUP(Table1[[#This Row],[Calling Node]],Nodes!A:D,4,0)</f>
        <v>34</v>
      </c>
      <c r="G727">
        <f>VLOOKUP(Table1[[#This Row],[Calling Node]],Nodes!A:E,5,0)</f>
        <v>11</v>
      </c>
      <c r="H727">
        <f>VLOOKUP(Table1[[#This Row],[Called Node]],Nodes!A:D,4,0)</f>
        <v>34</v>
      </c>
      <c r="I727">
        <f>VLOOKUP(Table1[[#This Row],[Called Node]],Nodes!A:E,5,0)</f>
        <v>10</v>
      </c>
    </row>
    <row r="728" spans="1:9" x14ac:dyDescent="0.3">
      <c r="A728" t="s">
        <v>360</v>
      </c>
      <c r="B728" t="str">
        <f>VLOOKUP(Table1[[#This Row],[Calling Node]],Nodes!A:B,2,0)</f>
        <v>test_construct_DR_query_with_wizard</v>
      </c>
      <c r="C728" t="s">
        <v>55</v>
      </c>
      <c r="D728" s="2" t="str">
        <f>VLOOKUP(Table1[[#This Row],[Called Node]],Nodes!A:B,2,0)</f>
        <v>state_data_types</v>
      </c>
      <c r="E728" s="3" t="str">
        <f>Table1[[#This Row],[Calling Node]]&amp;" -&gt; "&amp;Table1[[#This Row],[Called Node]]</f>
        <v>test_construct_DR_query_with_wizard -&gt; state_data_types_in_COUNTERData</v>
      </c>
      <c r="F728">
        <f>VLOOKUP(Table1[[#This Row],[Calling Node]],Nodes!A:D,4,0)</f>
        <v>34</v>
      </c>
      <c r="G728">
        <f>VLOOKUP(Table1[[#This Row],[Calling Node]],Nodes!A:E,5,0)</f>
        <v>13</v>
      </c>
      <c r="H728">
        <f>VLOOKUP(Table1[[#This Row],[Called Node]],Nodes!A:D,4,0)</f>
        <v>12</v>
      </c>
      <c r="I728">
        <f>VLOOKUP(Table1[[#This Row],[Called Node]],Nodes!A:E,5,0)</f>
        <v>1</v>
      </c>
    </row>
    <row r="729" spans="1:9" x14ac:dyDescent="0.3">
      <c r="A729" t="s">
        <v>360</v>
      </c>
      <c r="B729" t="str">
        <f>VLOOKUP(Table1[[#This Row],[Calling Node]],Nodes!A:B,2,0)</f>
        <v>test_construct_DR_query_with_wizard</v>
      </c>
      <c r="C729" t="s">
        <v>102</v>
      </c>
      <c r="D729" t="str">
        <f>VLOOKUP(Table1[[#This Row],[Called Node]],Nodes!A:B,2,0)</f>
        <v>construct_DR_query_with_wizard</v>
      </c>
      <c r="E729" s="3" t="str">
        <f>Table1[[#This Row],[Calling Node]]&amp;" -&gt; "&amp;Table1[[#This Row],[Called Node]]</f>
        <v>test_construct_DR_query_with_wizard -&gt; construct_DR_query_with_wizard</v>
      </c>
      <c r="F729">
        <f>VLOOKUP(Table1[[#This Row],[Calling Node]],Nodes!A:D,4,0)</f>
        <v>34</v>
      </c>
      <c r="G729">
        <f>VLOOKUP(Table1[[#This Row],[Calling Node]],Nodes!A:E,5,0)</f>
        <v>13</v>
      </c>
      <c r="H729">
        <f>VLOOKUP(Table1[[#This Row],[Called Node]],Nodes!A:D,4,0)</f>
        <v>21</v>
      </c>
      <c r="I729">
        <f>VLOOKUP(Table1[[#This Row],[Called Node]],Nodes!A:E,5,0)</f>
        <v>10</v>
      </c>
    </row>
    <row r="730" spans="1:9" x14ac:dyDescent="0.3">
      <c r="A730" t="s">
        <v>360</v>
      </c>
      <c r="B730" t="str">
        <f>VLOOKUP(Table1[[#This Row],[Calling Node]],Nodes!A:B,2,0)</f>
        <v>test_construct_DR_query_with_wizard</v>
      </c>
      <c r="C730" t="s">
        <v>117</v>
      </c>
      <c r="D730" t="str">
        <f>VLOOKUP(Table1[[#This Row],[Called Node]],Nodes!A:B,2,0)</f>
        <v>return_string_of_dataframe_info</v>
      </c>
      <c r="E730" s="3" t="str">
        <f>Table1[[#This Row],[Calling Node]]&amp;" -&gt; "&amp;Table1[[#This Row],[Called Node]]</f>
        <v>test_construct_DR_query_with_wizard -&gt; return_string_of_dataframe_info</v>
      </c>
      <c r="F730">
        <f>VLOOKUP(Table1[[#This Row],[Calling Node]],Nodes!A:D,4,0)</f>
        <v>34</v>
      </c>
      <c r="G730">
        <f>VLOOKUP(Table1[[#This Row],[Calling Node]],Nodes!A:E,5,0)</f>
        <v>13</v>
      </c>
      <c r="H730">
        <f>VLOOKUP(Table1[[#This Row],[Called Node]],Nodes!A:D,4,0)</f>
        <v>22</v>
      </c>
      <c r="I730">
        <f>VLOOKUP(Table1[[#This Row],[Called Node]],Nodes!A:E,5,0)</f>
        <v>11</v>
      </c>
    </row>
    <row r="731" spans="1:9" x14ac:dyDescent="0.3">
      <c r="A731" t="s">
        <v>360</v>
      </c>
      <c r="B731" t="str">
        <f>VLOOKUP(Table1[[#This Row],[Calling Node]],Nodes!A:B,2,0)</f>
        <v>test_construct_DR_query_with_wizard</v>
      </c>
      <c r="C731" t="s">
        <v>123</v>
      </c>
      <c r="D731" t="str">
        <f>VLOOKUP(Table1[[#This Row],[Called Node]],Nodes!A:B,2,0)</f>
        <v>query_database</v>
      </c>
      <c r="E731" s="3" t="str">
        <f>Table1[[#This Row],[Calling Node]]&amp;" -&gt; "&amp;Table1[[#This Row],[Called Node]]</f>
        <v>test_construct_DR_query_with_wizard -&gt; query_database</v>
      </c>
      <c r="F731">
        <f>VLOOKUP(Table1[[#This Row],[Calling Node]],Nodes!A:D,4,0)</f>
        <v>34</v>
      </c>
      <c r="G731">
        <f>VLOOKUP(Table1[[#This Row],[Calling Node]],Nodes!A:E,5,0)</f>
        <v>13</v>
      </c>
      <c r="H731">
        <f>VLOOKUP(Table1[[#This Row],[Called Node]],Nodes!A:D,4,0)</f>
        <v>22</v>
      </c>
      <c r="I731">
        <f>VLOOKUP(Table1[[#This Row],[Called Node]],Nodes!A:E,5,0)</f>
        <v>17</v>
      </c>
    </row>
    <row r="732" spans="1:9" x14ac:dyDescent="0.3">
      <c r="A732" t="s">
        <v>360</v>
      </c>
      <c r="B732" t="str">
        <f>VLOOKUP(Table1[[#This Row],[Calling Node]],Nodes!A:B,2,0)</f>
        <v>test_construct_DR_query_with_wizard</v>
      </c>
      <c r="C732" t="s">
        <v>145</v>
      </c>
      <c r="D732" t="str">
        <f>VLOOKUP(Table1[[#This Row],[Called Node]],Nodes!A:B,2,0)</f>
        <v>check_if_file_exists_statement</v>
      </c>
      <c r="E732" s="3" t="str">
        <f>Table1[[#This Row],[Calling Node]]&amp;" -&gt; "&amp;Table1[[#This Row],[Called Node]]</f>
        <v>test_construct_DR_query_with_wizard -&gt; check_if_file_exists_statement</v>
      </c>
      <c r="F732">
        <f>VLOOKUP(Table1[[#This Row],[Calling Node]],Nodes!A:D,4,0)</f>
        <v>34</v>
      </c>
      <c r="G732">
        <f>VLOOKUP(Table1[[#This Row],[Calling Node]],Nodes!A:E,5,0)</f>
        <v>13</v>
      </c>
      <c r="H732">
        <f>VLOOKUP(Table1[[#This Row],[Called Node]],Nodes!A:D,4,0)</f>
        <v>23</v>
      </c>
      <c r="I732">
        <f>VLOOKUP(Table1[[#This Row],[Called Node]],Nodes!A:E,5,0)</f>
        <v>11</v>
      </c>
    </row>
    <row r="733" spans="1:9" x14ac:dyDescent="0.3">
      <c r="A733" t="s">
        <v>360</v>
      </c>
      <c r="B733" t="str">
        <f>VLOOKUP(Table1[[#This Row],[Calling Node]],Nodes!A:B,2,0)</f>
        <v>test_construct_DR_query_with_wizard</v>
      </c>
      <c r="C733" t="s">
        <v>155</v>
      </c>
      <c r="D733" t="str">
        <f>VLOOKUP(Table1[[#This Row],[Called Node]],Nodes!A:B,2,0)</f>
        <v>database_function_skip_statements</v>
      </c>
      <c r="E733" s="3" t="str">
        <f>Table1[[#This Row],[Calling Node]]&amp;" -&gt; "&amp;Table1[[#This Row],[Called Node]]</f>
        <v>test_construct_DR_query_with_wizard -&gt; database_function_skip_statements</v>
      </c>
      <c r="F733">
        <f>VLOOKUP(Table1[[#This Row],[Calling Node]],Nodes!A:D,4,0)</f>
        <v>34</v>
      </c>
      <c r="G733">
        <f>VLOOKUP(Table1[[#This Row],[Calling Node]],Nodes!A:E,5,0)</f>
        <v>13</v>
      </c>
      <c r="H733">
        <f>VLOOKUP(Table1[[#This Row],[Called Node]],Nodes!A:D,4,0)</f>
        <v>23</v>
      </c>
      <c r="I733">
        <f>VLOOKUP(Table1[[#This Row],[Called Node]],Nodes!A:E,5,0)</f>
        <v>21</v>
      </c>
    </row>
    <row r="734" spans="1:9" x14ac:dyDescent="0.3">
      <c r="A734" t="s">
        <v>360</v>
      </c>
      <c r="B734" t="str">
        <f>VLOOKUP(Table1[[#This Row],[Calling Node]],Nodes!A:B,2,0)</f>
        <v>test_construct_DR_query_with_wizard</v>
      </c>
      <c r="C734" t="s">
        <v>215</v>
      </c>
      <c r="D734" t="str">
        <f>VLOOKUP(Table1[[#This Row],[Called Node]],Nodes!A:B,2,0)</f>
        <v>engine</v>
      </c>
      <c r="E734" s="3" t="str">
        <f>Table1[[#This Row],[Calling Node]]&amp;" -&gt; "&amp;Table1[[#This Row],[Called Node]]</f>
        <v>test_construct_DR_query_with_wizard -&gt; engine</v>
      </c>
      <c r="F734">
        <f>VLOOKUP(Table1[[#This Row],[Calling Node]],Nodes!A:D,4,0)</f>
        <v>34</v>
      </c>
      <c r="G734">
        <f>VLOOKUP(Table1[[#This Row],[Calling Node]],Nodes!A:E,5,0)</f>
        <v>13</v>
      </c>
      <c r="H734">
        <f>VLOOKUP(Table1[[#This Row],[Called Node]],Nodes!A:D,4,0)</f>
        <v>25</v>
      </c>
      <c r="I734">
        <f>VLOOKUP(Table1[[#This Row],[Called Node]],Nodes!A:E,5,0)</f>
        <v>1</v>
      </c>
    </row>
    <row r="735" spans="1:9" x14ac:dyDescent="0.3">
      <c r="A735" t="s">
        <v>360</v>
      </c>
      <c r="B735" t="str">
        <f>VLOOKUP(Table1[[#This Row],[Calling Node]],Nodes!A:B,2,0)</f>
        <v>test_construct_DR_query_with_wizard</v>
      </c>
      <c r="C735" t="s">
        <v>217</v>
      </c>
      <c r="D735" t="str">
        <f>VLOOKUP(Table1[[#This Row],[Called Node]],Nodes!A:B,2,0)</f>
        <v>client</v>
      </c>
      <c r="E735" s="3" t="str">
        <f>Table1[[#This Row],[Calling Node]]&amp;" -&gt; "&amp;Table1[[#This Row],[Called Node]]</f>
        <v>test_construct_DR_query_with_wizard -&gt; client</v>
      </c>
      <c r="F735">
        <f>VLOOKUP(Table1[[#This Row],[Calling Node]],Nodes!A:D,4,0)</f>
        <v>34</v>
      </c>
      <c r="G735">
        <f>VLOOKUP(Table1[[#This Row],[Calling Node]],Nodes!A:E,5,0)</f>
        <v>13</v>
      </c>
      <c r="H735">
        <f>VLOOKUP(Table1[[#This Row],[Called Node]],Nodes!A:D,4,0)</f>
        <v>25</v>
      </c>
      <c r="I735">
        <f>VLOOKUP(Table1[[#This Row],[Called Node]],Nodes!A:E,5,0)</f>
        <v>3</v>
      </c>
    </row>
    <row r="736" spans="1:9" x14ac:dyDescent="0.3">
      <c r="A736" t="s">
        <v>360</v>
      </c>
      <c r="B736" t="str">
        <f>VLOOKUP(Table1[[#This Row],[Calling Node]],Nodes!A:B,2,0)</f>
        <v>test_construct_DR_query_with_wizard</v>
      </c>
      <c r="C736" t="s">
        <v>253</v>
      </c>
      <c r="D736" t="str">
        <f>VLOOKUP(Table1[[#This Row],[Called Node]],Nodes!A:B,2,0)</f>
        <v>header_value</v>
      </c>
      <c r="E736" s="3" t="str">
        <f>Table1[[#This Row],[Calling Node]]&amp;" -&gt; "&amp;Table1[[#This Row],[Called Node]]</f>
        <v>test_construct_DR_query_with_wizard -&gt; header_value</v>
      </c>
      <c r="F736">
        <f>VLOOKUP(Table1[[#This Row],[Calling Node]],Nodes!A:D,4,0)</f>
        <v>34</v>
      </c>
      <c r="G736">
        <f>VLOOKUP(Table1[[#This Row],[Calling Node]],Nodes!A:E,5,0)</f>
        <v>13</v>
      </c>
      <c r="H736">
        <f>VLOOKUP(Table1[[#This Row],[Called Node]],Nodes!A:D,4,0)</f>
        <v>25</v>
      </c>
      <c r="I736">
        <f>VLOOKUP(Table1[[#This Row],[Called Node]],Nodes!A:E,5,0)</f>
        <v>39</v>
      </c>
    </row>
    <row r="737" spans="1:9" x14ac:dyDescent="0.3">
      <c r="A737" t="s">
        <v>360</v>
      </c>
      <c r="B737" t="str">
        <f>VLOOKUP(Table1[[#This Row],[Calling Node]],Nodes!A:B,2,0)</f>
        <v>test_construct_DR_query_with_wizard</v>
      </c>
      <c r="C737" t="s">
        <v>348</v>
      </c>
      <c r="D737" t="str">
        <f>VLOOKUP(Table1[[#This Row],[Called Node]],Nodes!A:B,2,0)</f>
        <v>COUNTER_download_CSV</v>
      </c>
      <c r="E737" s="3" t="str">
        <f>Table1[[#This Row],[Calling Node]]&amp;" -&gt; "&amp;Table1[[#This Row],[Called Node]]</f>
        <v>test_construct_DR_query_with_wizard -&gt; COUNTER_download_CSV</v>
      </c>
      <c r="F737">
        <f>VLOOKUP(Table1[[#This Row],[Calling Node]],Nodes!A:D,4,0)</f>
        <v>34</v>
      </c>
      <c r="G737">
        <f>VLOOKUP(Table1[[#This Row],[Calling Node]],Nodes!A:E,5,0)</f>
        <v>13</v>
      </c>
      <c r="H737">
        <f>VLOOKUP(Table1[[#This Row],[Called Node]],Nodes!A:D,4,0)</f>
        <v>34</v>
      </c>
      <c r="I737">
        <f>VLOOKUP(Table1[[#This Row],[Called Node]],Nodes!A:E,5,0)</f>
        <v>1</v>
      </c>
    </row>
    <row r="738" spans="1:9" x14ac:dyDescent="0.3">
      <c r="A738" t="s">
        <v>360</v>
      </c>
      <c r="B738" t="str">
        <f>VLOOKUP(Table1[[#This Row],[Calling Node]],Nodes!A:B,2,0)</f>
        <v>test_construct_DR_query_with_wizard</v>
      </c>
      <c r="C738" t="s">
        <v>359</v>
      </c>
      <c r="D738" t="str">
        <f>VLOOKUP(Table1[[#This Row],[Called Node]],Nodes!A:B,2,0)</f>
        <v>DR_parameters</v>
      </c>
      <c r="E738" s="3" t="str">
        <f>Table1[[#This Row],[Calling Node]]&amp;" -&gt; "&amp;Table1[[#This Row],[Called Node]]</f>
        <v>test_construct_DR_query_with_wizard -&gt; DR_parameters</v>
      </c>
      <c r="F738">
        <f>VLOOKUP(Table1[[#This Row],[Calling Node]],Nodes!A:D,4,0)</f>
        <v>34</v>
      </c>
      <c r="G738">
        <f>VLOOKUP(Table1[[#This Row],[Calling Node]],Nodes!A:E,5,0)</f>
        <v>13</v>
      </c>
      <c r="H738">
        <f>VLOOKUP(Table1[[#This Row],[Called Node]],Nodes!A:D,4,0)</f>
        <v>34</v>
      </c>
      <c r="I738">
        <f>VLOOKUP(Table1[[#This Row],[Called Node]],Nodes!A:E,5,0)</f>
        <v>12</v>
      </c>
    </row>
    <row r="739" spans="1:9" x14ac:dyDescent="0.3">
      <c r="A739" t="s">
        <v>362</v>
      </c>
      <c r="B739" t="str">
        <f>VLOOKUP(Table1[[#This Row],[Calling Node]],Nodes!A:B,2,0)</f>
        <v>test_construct_TR_query_with_wizard</v>
      </c>
      <c r="C739" t="s">
        <v>55</v>
      </c>
      <c r="D739" s="2" t="str">
        <f>VLOOKUP(Table1[[#This Row],[Called Node]],Nodes!A:B,2,0)</f>
        <v>state_data_types</v>
      </c>
      <c r="E739" s="3" t="str">
        <f>Table1[[#This Row],[Calling Node]]&amp;" -&gt; "&amp;Table1[[#This Row],[Called Node]]</f>
        <v>test_construct_TR_query_with_wizard -&gt; state_data_types_in_COUNTERData</v>
      </c>
      <c r="F739">
        <f>VLOOKUP(Table1[[#This Row],[Calling Node]],Nodes!A:D,4,0)</f>
        <v>34</v>
      </c>
      <c r="G739">
        <f>VLOOKUP(Table1[[#This Row],[Calling Node]],Nodes!A:E,5,0)</f>
        <v>15</v>
      </c>
      <c r="H739">
        <f>VLOOKUP(Table1[[#This Row],[Called Node]],Nodes!A:D,4,0)</f>
        <v>12</v>
      </c>
      <c r="I739">
        <f>VLOOKUP(Table1[[#This Row],[Called Node]],Nodes!A:E,5,0)</f>
        <v>1</v>
      </c>
    </row>
    <row r="740" spans="1:9" x14ac:dyDescent="0.3">
      <c r="A740" t="s">
        <v>362</v>
      </c>
      <c r="B740" t="str">
        <f>VLOOKUP(Table1[[#This Row],[Calling Node]],Nodes!A:B,2,0)</f>
        <v>test_construct_TR_query_with_wizard</v>
      </c>
      <c r="C740" t="s">
        <v>103</v>
      </c>
      <c r="D740" t="str">
        <f>VLOOKUP(Table1[[#This Row],[Called Node]],Nodes!A:B,2,0)</f>
        <v>construct_TR_query_with_wizard</v>
      </c>
      <c r="E740" s="3" t="str">
        <f>Table1[[#This Row],[Calling Node]]&amp;" -&gt; "&amp;Table1[[#This Row],[Called Node]]</f>
        <v>test_construct_TR_query_with_wizard -&gt; construct_TR_query_with_wizard</v>
      </c>
      <c r="F740">
        <f>VLOOKUP(Table1[[#This Row],[Calling Node]],Nodes!A:D,4,0)</f>
        <v>34</v>
      </c>
      <c r="G740">
        <f>VLOOKUP(Table1[[#This Row],[Calling Node]],Nodes!A:E,5,0)</f>
        <v>15</v>
      </c>
      <c r="H740">
        <f>VLOOKUP(Table1[[#This Row],[Called Node]],Nodes!A:D,4,0)</f>
        <v>21</v>
      </c>
      <c r="I740">
        <f>VLOOKUP(Table1[[#This Row],[Called Node]],Nodes!A:E,5,0)</f>
        <v>11</v>
      </c>
    </row>
    <row r="741" spans="1:9" x14ac:dyDescent="0.3">
      <c r="A741" t="s">
        <v>362</v>
      </c>
      <c r="B741" t="str">
        <f>VLOOKUP(Table1[[#This Row],[Calling Node]],Nodes!A:B,2,0)</f>
        <v>test_construct_TR_query_with_wizard</v>
      </c>
      <c r="C741" t="s">
        <v>117</v>
      </c>
      <c r="D741" t="str">
        <f>VLOOKUP(Table1[[#This Row],[Called Node]],Nodes!A:B,2,0)</f>
        <v>return_string_of_dataframe_info</v>
      </c>
      <c r="E741" s="3" t="str">
        <f>Table1[[#This Row],[Calling Node]]&amp;" -&gt; "&amp;Table1[[#This Row],[Called Node]]</f>
        <v>test_construct_TR_query_with_wizard -&gt; return_string_of_dataframe_info</v>
      </c>
      <c r="F741">
        <f>VLOOKUP(Table1[[#This Row],[Calling Node]],Nodes!A:D,4,0)</f>
        <v>34</v>
      </c>
      <c r="G741">
        <f>VLOOKUP(Table1[[#This Row],[Calling Node]],Nodes!A:E,5,0)</f>
        <v>15</v>
      </c>
      <c r="H741">
        <f>VLOOKUP(Table1[[#This Row],[Called Node]],Nodes!A:D,4,0)</f>
        <v>22</v>
      </c>
      <c r="I741">
        <f>VLOOKUP(Table1[[#This Row],[Called Node]],Nodes!A:E,5,0)</f>
        <v>11</v>
      </c>
    </row>
    <row r="742" spans="1:9" x14ac:dyDescent="0.3">
      <c r="A742" t="s">
        <v>362</v>
      </c>
      <c r="B742" t="str">
        <f>VLOOKUP(Table1[[#This Row],[Calling Node]],Nodes!A:B,2,0)</f>
        <v>test_construct_TR_query_with_wizard</v>
      </c>
      <c r="C742" t="s">
        <v>123</v>
      </c>
      <c r="D742" t="str">
        <f>VLOOKUP(Table1[[#This Row],[Called Node]],Nodes!A:B,2,0)</f>
        <v>query_database</v>
      </c>
      <c r="E742" s="3" t="str">
        <f>Table1[[#This Row],[Calling Node]]&amp;" -&gt; "&amp;Table1[[#This Row],[Called Node]]</f>
        <v>test_construct_TR_query_with_wizard -&gt; query_database</v>
      </c>
      <c r="F742">
        <f>VLOOKUP(Table1[[#This Row],[Calling Node]],Nodes!A:D,4,0)</f>
        <v>34</v>
      </c>
      <c r="G742">
        <f>VLOOKUP(Table1[[#This Row],[Calling Node]],Nodes!A:E,5,0)</f>
        <v>15</v>
      </c>
      <c r="H742">
        <f>VLOOKUP(Table1[[#This Row],[Called Node]],Nodes!A:D,4,0)</f>
        <v>22</v>
      </c>
      <c r="I742">
        <f>VLOOKUP(Table1[[#This Row],[Called Node]],Nodes!A:E,5,0)</f>
        <v>17</v>
      </c>
    </row>
    <row r="743" spans="1:9" x14ac:dyDescent="0.3">
      <c r="A743" t="s">
        <v>362</v>
      </c>
      <c r="B743" t="str">
        <f>VLOOKUP(Table1[[#This Row],[Calling Node]],Nodes!A:B,2,0)</f>
        <v>test_construct_TR_query_with_wizard</v>
      </c>
      <c r="C743" t="s">
        <v>145</v>
      </c>
      <c r="D743" t="str">
        <f>VLOOKUP(Table1[[#This Row],[Called Node]],Nodes!A:B,2,0)</f>
        <v>check_if_file_exists_statement</v>
      </c>
      <c r="E743" s="3" t="str">
        <f>Table1[[#This Row],[Calling Node]]&amp;" -&gt; "&amp;Table1[[#This Row],[Called Node]]</f>
        <v>test_construct_TR_query_with_wizard -&gt; check_if_file_exists_statement</v>
      </c>
      <c r="F743">
        <f>VLOOKUP(Table1[[#This Row],[Calling Node]],Nodes!A:D,4,0)</f>
        <v>34</v>
      </c>
      <c r="G743">
        <f>VLOOKUP(Table1[[#This Row],[Calling Node]],Nodes!A:E,5,0)</f>
        <v>15</v>
      </c>
      <c r="H743">
        <f>VLOOKUP(Table1[[#This Row],[Called Node]],Nodes!A:D,4,0)</f>
        <v>23</v>
      </c>
      <c r="I743">
        <f>VLOOKUP(Table1[[#This Row],[Called Node]],Nodes!A:E,5,0)</f>
        <v>11</v>
      </c>
    </row>
    <row r="744" spans="1:9" x14ac:dyDescent="0.3">
      <c r="A744" t="s">
        <v>362</v>
      </c>
      <c r="B744" t="str">
        <f>VLOOKUP(Table1[[#This Row],[Calling Node]],Nodes!A:B,2,0)</f>
        <v>test_construct_TR_query_with_wizard</v>
      </c>
      <c r="C744" t="s">
        <v>155</v>
      </c>
      <c r="D744" t="str">
        <f>VLOOKUP(Table1[[#This Row],[Called Node]],Nodes!A:B,2,0)</f>
        <v>database_function_skip_statements</v>
      </c>
      <c r="E744" s="3" t="str">
        <f>Table1[[#This Row],[Calling Node]]&amp;" -&gt; "&amp;Table1[[#This Row],[Called Node]]</f>
        <v>test_construct_TR_query_with_wizard -&gt; database_function_skip_statements</v>
      </c>
      <c r="F744">
        <f>VLOOKUP(Table1[[#This Row],[Calling Node]],Nodes!A:D,4,0)</f>
        <v>34</v>
      </c>
      <c r="G744">
        <f>VLOOKUP(Table1[[#This Row],[Calling Node]],Nodes!A:E,5,0)</f>
        <v>15</v>
      </c>
      <c r="H744">
        <f>VLOOKUP(Table1[[#This Row],[Called Node]],Nodes!A:D,4,0)</f>
        <v>23</v>
      </c>
      <c r="I744">
        <f>VLOOKUP(Table1[[#This Row],[Called Node]],Nodes!A:E,5,0)</f>
        <v>21</v>
      </c>
    </row>
    <row r="745" spans="1:9" x14ac:dyDescent="0.3">
      <c r="A745" t="s">
        <v>362</v>
      </c>
      <c r="B745" t="str">
        <f>VLOOKUP(Table1[[#This Row],[Calling Node]],Nodes!A:B,2,0)</f>
        <v>test_construct_TR_query_with_wizard</v>
      </c>
      <c r="C745" t="s">
        <v>215</v>
      </c>
      <c r="D745" t="str">
        <f>VLOOKUP(Table1[[#This Row],[Called Node]],Nodes!A:B,2,0)</f>
        <v>engine</v>
      </c>
      <c r="E745" s="3" t="str">
        <f>Table1[[#This Row],[Calling Node]]&amp;" -&gt; "&amp;Table1[[#This Row],[Called Node]]</f>
        <v>test_construct_TR_query_with_wizard -&gt; engine</v>
      </c>
      <c r="F745">
        <f>VLOOKUP(Table1[[#This Row],[Calling Node]],Nodes!A:D,4,0)</f>
        <v>34</v>
      </c>
      <c r="G745">
        <f>VLOOKUP(Table1[[#This Row],[Calling Node]],Nodes!A:E,5,0)</f>
        <v>15</v>
      </c>
      <c r="H745">
        <f>VLOOKUP(Table1[[#This Row],[Called Node]],Nodes!A:D,4,0)</f>
        <v>25</v>
      </c>
      <c r="I745">
        <f>VLOOKUP(Table1[[#This Row],[Called Node]],Nodes!A:E,5,0)</f>
        <v>1</v>
      </c>
    </row>
    <row r="746" spans="1:9" x14ac:dyDescent="0.3">
      <c r="A746" t="s">
        <v>362</v>
      </c>
      <c r="B746" t="str">
        <f>VLOOKUP(Table1[[#This Row],[Calling Node]],Nodes!A:B,2,0)</f>
        <v>test_construct_TR_query_with_wizard</v>
      </c>
      <c r="C746" t="s">
        <v>217</v>
      </c>
      <c r="D746" t="str">
        <f>VLOOKUP(Table1[[#This Row],[Called Node]],Nodes!A:B,2,0)</f>
        <v>client</v>
      </c>
      <c r="E746" s="3" t="str">
        <f>Table1[[#This Row],[Calling Node]]&amp;" -&gt; "&amp;Table1[[#This Row],[Called Node]]</f>
        <v>test_construct_TR_query_with_wizard -&gt; client</v>
      </c>
      <c r="F746">
        <f>VLOOKUP(Table1[[#This Row],[Calling Node]],Nodes!A:D,4,0)</f>
        <v>34</v>
      </c>
      <c r="G746">
        <f>VLOOKUP(Table1[[#This Row],[Calling Node]],Nodes!A:E,5,0)</f>
        <v>15</v>
      </c>
      <c r="H746">
        <f>VLOOKUP(Table1[[#This Row],[Called Node]],Nodes!A:D,4,0)</f>
        <v>25</v>
      </c>
      <c r="I746">
        <f>VLOOKUP(Table1[[#This Row],[Called Node]],Nodes!A:E,5,0)</f>
        <v>3</v>
      </c>
    </row>
    <row r="747" spans="1:9" x14ac:dyDescent="0.3">
      <c r="A747" t="s">
        <v>362</v>
      </c>
      <c r="B747" t="str">
        <f>VLOOKUP(Table1[[#This Row],[Calling Node]],Nodes!A:B,2,0)</f>
        <v>test_construct_TR_query_with_wizard</v>
      </c>
      <c r="C747" t="s">
        <v>253</v>
      </c>
      <c r="D747" t="str">
        <f>VLOOKUP(Table1[[#This Row],[Called Node]],Nodes!A:B,2,0)</f>
        <v>header_value</v>
      </c>
      <c r="E747" s="3" t="str">
        <f>Table1[[#This Row],[Calling Node]]&amp;" -&gt; "&amp;Table1[[#This Row],[Called Node]]</f>
        <v>test_construct_TR_query_with_wizard -&gt; header_value</v>
      </c>
      <c r="F747">
        <f>VLOOKUP(Table1[[#This Row],[Calling Node]],Nodes!A:D,4,0)</f>
        <v>34</v>
      </c>
      <c r="G747">
        <f>VLOOKUP(Table1[[#This Row],[Calling Node]],Nodes!A:E,5,0)</f>
        <v>15</v>
      </c>
      <c r="H747">
        <f>VLOOKUP(Table1[[#This Row],[Called Node]],Nodes!A:D,4,0)</f>
        <v>25</v>
      </c>
      <c r="I747">
        <f>VLOOKUP(Table1[[#This Row],[Called Node]],Nodes!A:E,5,0)</f>
        <v>39</v>
      </c>
    </row>
    <row r="748" spans="1:9" x14ac:dyDescent="0.3">
      <c r="A748" t="s">
        <v>362</v>
      </c>
      <c r="B748" t="str">
        <f>VLOOKUP(Table1[[#This Row],[Calling Node]],Nodes!A:B,2,0)</f>
        <v>test_construct_TR_query_with_wizard</v>
      </c>
      <c r="C748" t="s">
        <v>348</v>
      </c>
      <c r="D748" t="str">
        <f>VLOOKUP(Table1[[#This Row],[Called Node]],Nodes!A:B,2,0)</f>
        <v>COUNTER_download_CSV</v>
      </c>
      <c r="E748" s="3" t="str">
        <f>Table1[[#This Row],[Calling Node]]&amp;" -&gt; "&amp;Table1[[#This Row],[Called Node]]</f>
        <v>test_construct_TR_query_with_wizard -&gt; COUNTER_download_CSV</v>
      </c>
      <c r="F748">
        <f>VLOOKUP(Table1[[#This Row],[Calling Node]],Nodes!A:D,4,0)</f>
        <v>34</v>
      </c>
      <c r="G748">
        <f>VLOOKUP(Table1[[#This Row],[Calling Node]],Nodes!A:E,5,0)</f>
        <v>15</v>
      </c>
      <c r="H748">
        <f>VLOOKUP(Table1[[#This Row],[Called Node]],Nodes!A:D,4,0)</f>
        <v>34</v>
      </c>
      <c r="I748">
        <f>VLOOKUP(Table1[[#This Row],[Called Node]],Nodes!A:E,5,0)</f>
        <v>1</v>
      </c>
    </row>
    <row r="749" spans="1:9" x14ac:dyDescent="0.3">
      <c r="A749" t="s">
        <v>362</v>
      </c>
      <c r="B749" t="str">
        <f>VLOOKUP(Table1[[#This Row],[Calling Node]],Nodes!A:B,2,0)</f>
        <v>test_construct_TR_query_with_wizard</v>
      </c>
      <c r="C749" t="s">
        <v>361</v>
      </c>
      <c r="D749" t="str">
        <f>VLOOKUP(Table1[[#This Row],[Called Node]],Nodes!A:B,2,0)</f>
        <v>TR_parameters</v>
      </c>
      <c r="E749" s="3" t="str">
        <f>Table1[[#This Row],[Calling Node]]&amp;" -&gt; "&amp;Table1[[#This Row],[Called Node]]</f>
        <v>test_construct_TR_query_with_wizard -&gt; TR_parameters</v>
      </c>
      <c r="F749">
        <f>VLOOKUP(Table1[[#This Row],[Calling Node]],Nodes!A:D,4,0)</f>
        <v>34</v>
      </c>
      <c r="G749">
        <f>VLOOKUP(Table1[[#This Row],[Calling Node]],Nodes!A:E,5,0)</f>
        <v>15</v>
      </c>
      <c r="H749">
        <f>VLOOKUP(Table1[[#This Row],[Called Node]],Nodes!A:D,4,0)</f>
        <v>34</v>
      </c>
      <c r="I749">
        <f>VLOOKUP(Table1[[#This Row],[Called Node]],Nodes!A:E,5,0)</f>
        <v>14</v>
      </c>
    </row>
    <row r="750" spans="1:9" x14ac:dyDescent="0.3">
      <c r="A750" t="s">
        <v>364</v>
      </c>
      <c r="B750" t="str">
        <f>VLOOKUP(Table1[[#This Row],[Calling Node]],Nodes!A:B,2,0)</f>
        <v>test_construct_IR_query_with_wizard</v>
      </c>
      <c r="C750" t="s">
        <v>55</v>
      </c>
      <c r="D750" s="2" t="str">
        <f>VLOOKUP(Table1[[#This Row],[Called Node]],Nodes!A:B,2,0)</f>
        <v>state_data_types</v>
      </c>
      <c r="E750" s="3" t="str">
        <f>Table1[[#This Row],[Calling Node]]&amp;" -&gt; "&amp;Table1[[#This Row],[Called Node]]</f>
        <v>test_construct_IR_query_with_wizard -&gt; state_data_types_in_COUNTERData</v>
      </c>
      <c r="F750">
        <f>VLOOKUP(Table1[[#This Row],[Calling Node]],Nodes!A:D,4,0)</f>
        <v>34</v>
      </c>
      <c r="G750">
        <f>VLOOKUP(Table1[[#This Row],[Calling Node]],Nodes!A:E,5,0)</f>
        <v>17</v>
      </c>
      <c r="H750">
        <f>VLOOKUP(Table1[[#This Row],[Called Node]],Nodes!A:D,4,0)</f>
        <v>12</v>
      </c>
      <c r="I750">
        <f>VLOOKUP(Table1[[#This Row],[Called Node]],Nodes!A:E,5,0)</f>
        <v>1</v>
      </c>
    </row>
    <row r="751" spans="1:9" x14ac:dyDescent="0.3">
      <c r="A751" t="s">
        <v>364</v>
      </c>
      <c r="B751" t="str">
        <f>VLOOKUP(Table1[[#This Row],[Calling Node]],Nodes!A:B,2,0)</f>
        <v>test_construct_IR_query_with_wizard</v>
      </c>
      <c r="C751" t="s">
        <v>104</v>
      </c>
      <c r="D751" t="str">
        <f>VLOOKUP(Table1[[#This Row],[Called Node]],Nodes!A:B,2,0)</f>
        <v>construct_IR_query_with_wizard</v>
      </c>
      <c r="E751" s="3" t="str">
        <f>Table1[[#This Row],[Calling Node]]&amp;" -&gt; "&amp;Table1[[#This Row],[Called Node]]</f>
        <v>test_construct_IR_query_with_wizard -&gt; construct_IR_query_with_wizard</v>
      </c>
      <c r="F751">
        <f>VLOOKUP(Table1[[#This Row],[Calling Node]],Nodes!A:D,4,0)</f>
        <v>34</v>
      </c>
      <c r="G751">
        <f>VLOOKUP(Table1[[#This Row],[Calling Node]],Nodes!A:E,5,0)</f>
        <v>17</v>
      </c>
      <c r="H751">
        <f>VLOOKUP(Table1[[#This Row],[Called Node]],Nodes!A:D,4,0)</f>
        <v>21</v>
      </c>
      <c r="I751">
        <f>VLOOKUP(Table1[[#This Row],[Called Node]],Nodes!A:E,5,0)</f>
        <v>12</v>
      </c>
    </row>
    <row r="752" spans="1:9" x14ac:dyDescent="0.3">
      <c r="A752" t="s">
        <v>364</v>
      </c>
      <c r="B752" t="str">
        <f>VLOOKUP(Table1[[#This Row],[Calling Node]],Nodes!A:B,2,0)</f>
        <v>test_construct_IR_query_with_wizard</v>
      </c>
      <c r="C752" t="s">
        <v>117</v>
      </c>
      <c r="D752" t="str">
        <f>VLOOKUP(Table1[[#This Row],[Called Node]],Nodes!A:B,2,0)</f>
        <v>return_string_of_dataframe_info</v>
      </c>
      <c r="E752" s="3" t="str">
        <f>Table1[[#This Row],[Calling Node]]&amp;" -&gt; "&amp;Table1[[#This Row],[Called Node]]</f>
        <v>test_construct_IR_query_with_wizard -&gt; return_string_of_dataframe_info</v>
      </c>
      <c r="F752">
        <f>VLOOKUP(Table1[[#This Row],[Calling Node]],Nodes!A:D,4,0)</f>
        <v>34</v>
      </c>
      <c r="G752">
        <f>VLOOKUP(Table1[[#This Row],[Calling Node]],Nodes!A:E,5,0)</f>
        <v>17</v>
      </c>
      <c r="H752">
        <f>VLOOKUP(Table1[[#This Row],[Called Node]],Nodes!A:D,4,0)</f>
        <v>22</v>
      </c>
      <c r="I752">
        <f>VLOOKUP(Table1[[#This Row],[Called Node]],Nodes!A:E,5,0)</f>
        <v>11</v>
      </c>
    </row>
    <row r="753" spans="1:9" x14ac:dyDescent="0.3">
      <c r="A753" t="s">
        <v>364</v>
      </c>
      <c r="B753" t="str">
        <f>VLOOKUP(Table1[[#This Row],[Calling Node]],Nodes!A:B,2,0)</f>
        <v>test_construct_IR_query_with_wizard</v>
      </c>
      <c r="C753" t="s">
        <v>123</v>
      </c>
      <c r="D753" t="str">
        <f>VLOOKUP(Table1[[#This Row],[Called Node]],Nodes!A:B,2,0)</f>
        <v>query_database</v>
      </c>
      <c r="E753" s="3" t="str">
        <f>Table1[[#This Row],[Calling Node]]&amp;" -&gt; "&amp;Table1[[#This Row],[Called Node]]</f>
        <v>test_construct_IR_query_with_wizard -&gt; query_database</v>
      </c>
      <c r="F753">
        <f>VLOOKUP(Table1[[#This Row],[Calling Node]],Nodes!A:D,4,0)</f>
        <v>34</v>
      </c>
      <c r="G753">
        <f>VLOOKUP(Table1[[#This Row],[Calling Node]],Nodes!A:E,5,0)</f>
        <v>17</v>
      </c>
      <c r="H753">
        <f>VLOOKUP(Table1[[#This Row],[Called Node]],Nodes!A:D,4,0)</f>
        <v>22</v>
      </c>
      <c r="I753">
        <f>VLOOKUP(Table1[[#This Row],[Called Node]],Nodes!A:E,5,0)</f>
        <v>17</v>
      </c>
    </row>
    <row r="754" spans="1:9" x14ac:dyDescent="0.3">
      <c r="A754" t="s">
        <v>364</v>
      </c>
      <c r="B754" t="str">
        <f>VLOOKUP(Table1[[#This Row],[Calling Node]],Nodes!A:B,2,0)</f>
        <v>test_construct_IR_query_with_wizard</v>
      </c>
      <c r="C754" t="s">
        <v>145</v>
      </c>
      <c r="D754" t="str">
        <f>VLOOKUP(Table1[[#This Row],[Called Node]],Nodes!A:B,2,0)</f>
        <v>check_if_file_exists_statement</v>
      </c>
      <c r="E754" s="3" t="str">
        <f>Table1[[#This Row],[Calling Node]]&amp;" -&gt; "&amp;Table1[[#This Row],[Called Node]]</f>
        <v>test_construct_IR_query_with_wizard -&gt; check_if_file_exists_statement</v>
      </c>
      <c r="F754">
        <f>VLOOKUP(Table1[[#This Row],[Calling Node]],Nodes!A:D,4,0)</f>
        <v>34</v>
      </c>
      <c r="G754">
        <f>VLOOKUP(Table1[[#This Row],[Calling Node]],Nodes!A:E,5,0)</f>
        <v>17</v>
      </c>
      <c r="H754">
        <f>VLOOKUP(Table1[[#This Row],[Called Node]],Nodes!A:D,4,0)</f>
        <v>23</v>
      </c>
      <c r="I754">
        <f>VLOOKUP(Table1[[#This Row],[Called Node]],Nodes!A:E,5,0)</f>
        <v>11</v>
      </c>
    </row>
    <row r="755" spans="1:9" x14ac:dyDescent="0.3">
      <c r="A755" t="s">
        <v>364</v>
      </c>
      <c r="B755" t="str">
        <f>VLOOKUP(Table1[[#This Row],[Calling Node]],Nodes!A:B,2,0)</f>
        <v>test_construct_IR_query_with_wizard</v>
      </c>
      <c r="C755" t="s">
        <v>155</v>
      </c>
      <c r="D755" t="str">
        <f>VLOOKUP(Table1[[#This Row],[Called Node]],Nodes!A:B,2,0)</f>
        <v>database_function_skip_statements</v>
      </c>
      <c r="E755" s="3" t="str">
        <f>Table1[[#This Row],[Calling Node]]&amp;" -&gt; "&amp;Table1[[#This Row],[Called Node]]</f>
        <v>test_construct_IR_query_with_wizard -&gt; database_function_skip_statements</v>
      </c>
      <c r="F755">
        <f>VLOOKUP(Table1[[#This Row],[Calling Node]],Nodes!A:D,4,0)</f>
        <v>34</v>
      </c>
      <c r="G755">
        <f>VLOOKUP(Table1[[#This Row],[Calling Node]],Nodes!A:E,5,0)</f>
        <v>17</v>
      </c>
      <c r="H755">
        <f>VLOOKUP(Table1[[#This Row],[Called Node]],Nodes!A:D,4,0)</f>
        <v>23</v>
      </c>
      <c r="I755">
        <f>VLOOKUP(Table1[[#This Row],[Called Node]],Nodes!A:E,5,0)</f>
        <v>21</v>
      </c>
    </row>
    <row r="756" spans="1:9" x14ac:dyDescent="0.3">
      <c r="A756" t="s">
        <v>364</v>
      </c>
      <c r="B756" t="str">
        <f>VLOOKUP(Table1[[#This Row],[Calling Node]],Nodes!A:B,2,0)</f>
        <v>test_construct_IR_query_with_wizard</v>
      </c>
      <c r="C756" t="s">
        <v>215</v>
      </c>
      <c r="D756" t="str">
        <f>VLOOKUP(Table1[[#This Row],[Called Node]],Nodes!A:B,2,0)</f>
        <v>engine</v>
      </c>
      <c r="E756" s="3" t="str">
        <f>Table1[[#This Row],[Calling Node]]&amp;" -&gt; "&amp;Table1[[#This Row],[Called Node]]</f>
        <v>test_construct_IR_query_with_wizard -&gt; engine</v>
      </c>
      <c r="F756">
        <f>VLOOKUP(Table1[[#This Row],[Calling Node]],Nodes!A:D,4,0)</f>
        <v>34</v>
      </c>
      <c r="G756">
        <f>VLOOKUP(Table1[[#This Row],[Calling Node]],Nodes!A:E,5,0)</f>
        <v>17</v>
      </c>
      <c r="H756">
        <f>VLOOKUP(Table1[[#This Row],[Called Node]],Nodes!A:D,4,0)</f>
        <v>25</v>
      </c>
      <c r="I756">
        <f>VLOOKUP(Table1[[#This Row],[Called Node]],Nodes!A:E,5,0)</f>
        <v>1</v>
      </c>
    </row>
    <row r="757" spans="1:9" x14ac:dyDescent="0.3">
      <c r="A757" t="s">
        <v>364</v>
      </c>
      <c r="B757" t="str">
        <f>VLOOKUP(Table1[[#This Row],[Calling Node]],Nodes!A:B,2,0)</f>
        <v>test_construct_IR_query_with_wizard</v>
      </c>
      <c r="C757" t="s">
        <v>217</v>
      </c>
      <c r="D757" t="str">
        <f>VLOOKUP(Table1[[#This Row],[Called Node]],Nodes!A:B,2,0)</f>
        <v>client</v>
      </c>
      <c r="E757" s="3" t="str">
        <f>Table1[[#This Row],[Calling Node]]&amp;" -&gt; "&amp;Table1[[#This Row],[Called Node]]</f>
        <v>test_construct_IR_query_with_wizard -&gt; client</v>
      </c>
      <c r="F757">
        <f>VLOOKUP(Table1[[#This Row],[Calling Node]],Nodes!A:D,4,0)</f>
        <v>34</v>
      </c>
      <c r="G757">
        <f>VLOOKUP(Table1[[#This Row],[Calling Node]],Nodes!A:E,5,0)</f>
        <v>17</v>
      </c>
      <c r="H757">
        <f>VLOOKUP(Table1[[#This Row],[Called Node]],Nodes!A:D,4,0)</f>
        <v>25</v>
      </c>
      <c r="I757">
        <f>VLOOKUP(Table1[[#This Row],[Called Node]],Nodes!A:E,5,0)</f>
        <v>3</v>
      </c>
    </row>
    <row r="758" spans="1:9" x14ac:dyDescent="0.3">
      <c r="A758" t="s">
        <v>364</v>
      </c>
      <c r="B758" t="str">
        <f>VLOOKUP(Table1[[#This Row],[Calling Node]],Nodes!A:B,2,0)</f>
        <v>test_construct_IR_query_with_wizard</v>
      </c>
      <c r="C758" t="s">
        <v>253</v>
      </c>
      <c r="D758" t="str">
        <f>VLOOKUP(Table1[[#This Row],[Called Node]],Nodes!A:B,2,0)</f>
        <v>header_value</v>
      </c>
      <c r="E758" s="3" t="str">
        <f>Table1[[#This Row],[Calling Node]]&amp;" -&gt; "&amp;Table1[[#This Row],[Called Node]]</f>
        <v>test_construct_IR_query_with_wizard -&gt; header_value</v>
      </c>
      <c r="F758">
        <f>VLOOKUP(Table1[[#This Row],[Calling Node]],Nodes!A:D,4,0)</f>
        <v>34</v>
      </c>
      <c r="G758">
        <f>VLOOKUP(Table1[[#This Row],[Calling Node]],Nodes!A:E,5,0)</f>
        <v>17</v>
      </c>
      <c r="H758">
        <f>VLOOKUP(Table1[[#This Row],[Called Node]],Nodes!A:D,4,0)</f>
        <v>25</v>
      </c>
      <c r="I758">
        <f>VLOOKUP(Table1[[#This Row],[Called Node]],Nodes!A:E,5,0)</f>
        <v>39</v>
      </c>
    </row>
    <row r="759" spans="1:9" x14ac:dyDescent="0.3">
      <c r="A759" t="s">
        <v>364</v>
      </c>
      <c r="B759" t="str">
        <f>VLOOKUP(Table1[[#This Row],[Calling Node]],Nodes!A:B,2,0)</f>
        <v>test_construct_IR_query_with_wizard</v>
      </c>
      <c r="C759" t="s">
        <v>348</v>
      </c>
      <c r="D759" t="str">
        <f>VLOOKUP(Table1[[#This Row],[Called Node]],Nodes!A:B,2,0)</f>
        <v>COUNTER_download_CSV</v>
      </c>
      <c r="E759" s="3" t="str">
        <f>Table1[[#This Row],[Calling Node]]&amp;" -&gt; "&amp;Table1[[#This Row],[Called Node]]</f>
        <v>test_construct_IR_query_with_wizard -&gt; COUNTER_download_CSV</v>
      </c>
      <c r="F759">
        <f>VLOOKUP(Table1[[#This Row],[Calling Node]],Nodes!A:D,4,0)</f>
        <v>34</v>
      </c>
      <c r="G759">
        <f>VLOOKUP(Table1[[#This Row],[Calling Node]],Nodes!A:E,5,0)</f>
        <v>17</v>
      </c>
      <c r="H759">
        <f>VLOOKUP(Table1[[#This Row],[Called Node]],Nodes!A:D,4,0)</f>
        <v>34</v>
      </c>
      <c r="I759">
        <f>VLOOKUP(Table1[[#This Row],[Called Node]],Nodes!A:E,5,0)</f>
        <v>1</v>
      </c>
    </row>
    <row r="760" spans="1:9" x14ac:dyDescent="0.3">
      <c r="A760" t="s">
        <v>364</v>
      </c>
      <c r="B760" t="str">
        <f>VLOOKUP(Table1[[#This Row],[Calling Node]],Nodes!A:B,2,0)</f>
        <v>test_construct_IR_query_with_wizard</v>
      </c>
      <c r="C760" t="s">
        <v>363</v>
      </c>
      <c r="D760" t="str">
        <f>VLOOKUP(Table1[[#This Row],[Called Node]],Nodes!A:B,2,0)</f>
        <v>IR_parameters</v>
      </c>
      <c r="E760" s="3" t="str">
        <f>Table1[[#This Row],[Calling Node]]&amp;" -&gt; "&amp;Table1[[#This Row],[Called Node]]</f>
        <v>test_construct_IR_query_with_wizard -&gt; IR_parameters</v>
      </c>
      <c r="F760">
        <f>VLOOKUP(Table1[[#This Row],[Calling Node]],Nodes!A:D,4,0)</f>
        <v>34</v>
      </c>
      <c r="G760">
        <f>VLOOKUP(Table1[[#This Row],[Calling Node]],Nodes!A:E,5,0)</f>
        <v>17</v>
      </c>
      <c r="H760">
        <f>VLOOKUP(Table1[[#This Row],[Called Node]],Nodes!A:D,4,0)</f>
        <v>34</v>
      </c>
      <c r="I760">
        <f>VLOOKUP(Table1[[#This Row],[Called Node]],Nodes!A:E,5,0)</f>
        <v>16</v>
      </c>
    </row>
    <row r="761" spans="1:9" x14ac:dyDescent="0.3">
      <c r="A761" t="s">
        <v>366</v>
      </c>
      <c r="B761" t="str">
        <f>VLOOKUP(Table1[[#This Row],[Calling Node]],Nodes!A:B,2,0)</f>
        <v>test_GET_request_for_download_non_COUNTER_usage</v>
      </c>
      <c r="C761" t="s">
        <v>105</v>
      </c>
      <c r="D761" t="str">
        <f>VLOOKUP(Table1[[#This Row],[Called Node]],Nodes!A:B,2,0)</f>
        <v>download_non_COUNTER_usage</v>
      </c>
      <c r="E761" s="3" t="str">
        <f>Table1[[#This Row],[Calling Node]]&amp;" -&gt; "&amp;Table1[[#This Row],[Called Node]]</f>
        <v>test_GET_request_for_download_non_COUNTER_usage -&gt; download_non_COUNTER_usage</v>
      </c>
      <c r="F761">
        <f>VLOOKUP(Table1[[#This Row],[Calling Node]],Nodes!A:D,4,0)</f>
        <v>34</v>
      </c>
      <c r="G761">
        <f>VLOOKUP(Table1[[#This Row],[Calling Node]],Nodes!A:E,5,0)</f>
        <v>19</v>
      </c>
      <c r="H761">
        <f>VLOOKUP(Table1[[#This Row],[Called Node]],Nodes!A:D,4,0)</f>
        <v>21</v>
      </c>
      <c r="I761">
        <f>VLOOKUP(Table1[[#This Row],[Called Node]],Nodes!A:E,5,0)</f>
        <v>13</v>
      </c>
    </row>
    <row r="762" spans="1:9" x14ac:dyDescent="0.3">
      <c r="A762" t="s">
        <v>366</v>
      </c>
      <c r="B762" t="str">
        <f>VLOOKUP(Table1[[#This Row],[Calling Node]],Nodes!A:B,2,0)</f>
        <v>test_GET_request_for_download_non_COUNTER_usage</v>
      </c>
      <c r="C762" t="s">
        <v>121</v>
      </c>
      <c r="D762" t="str">
        <f>VLOOKUP(Table1[[#This Row],[Called Node]],Nodes!A:B,2,0)</f>
        <v>create_AUCT_SelectField_options</v>
      </c>
      <c r="E762" s="3" t="str">
        <f>Table1[[#This Row],[Calling Node]]&amp;" -&gt; "&amp;Table1[[#This Row],[Called Node]]</f>
        <v>test_GET_request_for_download_non_COUNTER_usage -&gt; create_AUCT_SelectField_options</v>
      </c>
      <c r="F762">
        <f>VLOOKUP(Table1[[#This Row],[Calling Node]],Nodes!A:D,4,0)</f>
        <v>34</v>
      </c>
      <c r="G762">
        <f>VLOOKUP(Table1[[#This Row],[Calling Node]],Nodes!A:E,5,0)</f>
        <v>19</v>
      </c>
      <c r="H762">
        <f>VLOOKUP(Table1[[#This Row],[Called Node]],Nodes!A:D,4,0)</f>
        <v>22</v>
      </c>
      <c r="I762">
        <f>VLOOKUP(Table1[[#This Row],[Called Node]],Nodes!A:E,5,0)</f>
        <v>15</v>
      </c>
    </row>
    <row r="763" spans="1:9" x14ac:dyDescent="0.3">
      <c r="A763" t="s">
        <v>366</v>
      </c>
      <c r="B763" t="str">
        <f>VLOOKUP(Table1[[#This Row],[Calling Node]],Nodes!A:B,2,0)</f>
        <v>test_GET_request_for_download_non_COUNTER_usage</v>
      </c>
      <c r="C763" t="s">
        <v>123</v>
      </c>
      <c r="D763" t="str">
        <f>VLOOKUP(Table1[[#This Row],[Called Node]],Nodes!A:B,2,0)</f>
        <v>query_database</v>
      </c>
      <c r="E763" s="3" t="str">
        <f>Table1[[#This Row],[Calling Node]]&amp;" -&gt; "&amp;Table1[[#This Row],[Called Node]]</f>
        <v>test_GET_request_for_download_non_COUNTER_usage -&gt; query_database</v>
      </c>
      <c r="F763">
        <f>VLOOKUP(Table1[[#This Row],[Calling Node]],Nodes!A:D,4,0)</f>
        <v>34</v>
      </c>
      <c r="G763">
        <f>VLOOKUP(Table1[[#This Row],[Calling Node]],Nodes!A:E,5,0)</f>
        <v>19</v>
      </c>
      <c r="H763">
        <f>VLOOKUP(Table1[[#This Row],[Called Node]],Nodes!A:D,4,0)</f>
        <v>22</v>
      </c>
      <c r="I763">
        <f>VLOOKUP(Table1[[#This Row],[Called Node]],Nodes!A:E,5,0)</f>
        <v>17</v>
      </c>
    </row>
    <row r="764" spans="1:9" x14ac:dyDescent="0.3">
      <c r="A764" t="s">
        <v>366</v>
      </c>
      <c r="B764" t="str">
        <f>VLOOKUP(Table1[[#This Row],[Calling Node]],Nodes!A:B,2,0)</f>
        <v>test_GET_request_for_download_non_COUNTER_usage</v>
      </c>
      <c r="C764" t="s">
        <v>155</v>
      </c>
      <c r="D764" t="str">
        <f>VLOOKUP(Table1[[#This Row],[Called Node]],Nodes!A:B,2,0)</f>
        <v>database_function_skip_statements</v>
      </c>
      <c r="E764" s="3" t="str">
        <f>Table1[[#This Row],[Calling Node]]&amp;" -&gt; "&amp;Table1[[#This Row],[Called Node]]</f>
        <v>test_GET_request_for_download_non_COUNTER_usage -&gt; database_function_skip_statements</v>
      </c>
      <c r="F764">
        <f>VLOOKUP(Table1[[#This Row],[Calling Node]],Nodes!A:D,4,0)</f>
        <v>34</v>
      </c>
      <c r="G764">
        <f>VLOOKUP(Table1[[#This Row],[Calling Node]],Nodes!A:E,5,0)</f>
        <v>19</v>
      </c>
      <c r="H764">
        <f>VLOOKUP(Table1[[#This Row],[Called Node]],Nodes!A:D,4,0)</f>
        <v>23</v>
      </c>
      <c r="I764">
        <f>VLOOKUP(Table1[[#This Row],[Called Node]],Nodes!A:E,5,0)</f>
        <v>21</v>
      </c>
    </row>
    <row r="765" spans="1:9" x14ac:dyDescent="0.3">
      <c r="A765" t="s">
        <v>366</v>
      </c>
      <c r="B765" t="str">
        <f>VLOOKUP(Table1[[#This Row],[Calling Node]],Nodes!A:B,2,0)</f>
        <v>test_GET_request_for_download_non_COUNTER_usage</v>
      </c>
      <c r="C765" t="s">
        <v>215</v>
      </c>
      <c r="D765" t="str">
        <f>VLOOKUP(Table1[[#This Row],[Called Node]],Nodes!A:B,2,0)</f>
        <v>engine</v>
      </c>
      <c r="E765" s="3" t="str">
        <f>Table1[[#This Row],[Calling Node]]&amp;" -&gt; "&amp;Table1[[#This Row],[Called Node]]</f>
        <v>test_GET_request_for_download_non_COUNTER_usage -&gt; engine</v>
      </c>
      <c r="F765">
        <f>VLOOKUP(Table1[[#This Row],[Calling Node]],Nodes!A:D,4,0)</f>
        <v>34</v>
      </c>
      <c r="G765">
        <f>VLOOKUP(Table1[[#This Row],[Calling Node]],Nodes!A:E,5,0)</f>
        <v>19</v>
      </c>
      <c r="H765">
        <f>VLOOKUP(Table1[[#This Row],[Called Node]],Nodes!A:D,4,0)</f>
        <v>25</v>
      </c>
      <c r="I765">
        <f>VLOOKUP(Table1[[#This Row],[Called Node]],Nodes!A:E,5,0)</f>
        <v>1</v>
      </c>
    </row>
    <row r="766" spans="1:9" x14ac:dyDescent="0.3">
      <c r="A766" t="s">
        <v>366</v>
      </c>
      <c r="B766" t="str">
        <f>VLOOKUP(Table1[[#This Row],[Calling Node]],Nodes!A:B,2,0)</f>
        <v>test_GET_request_for_download_non_COUNTER_usage</v>
      </c>
      <c r="C766" t="s">
        <v>217</v>
      </c>
      <c r="D766" t="str">
        <f>VLOOKUP(Table1[[#This Row],[Called Node]],Nodes!A:B,2,0)</f>
        <v>client</v>
      </c>
      <c r="E766" s="3" t="str">
        <f>Table1[[#This Row],[Calling Node]]&amp;" -&gt; "&amp;Table1[[#This Row],[Called Node]]</f>
        <v>test_GET_request_for_download_non_COUNTER_usage -&gt; client</v>
      </c>
      <c r="F766">
        <f>VLOOKUP(Table1[[#This Row],[Calling Node]],Nodes!A:D,4,0)</f>
        <v>34</v>
      </c>
      <c r="G766">
        <f>VLOOKUP(Table1[[#This Row],[Calling Node]],Nodes!A:E,5,0)</f>
        <v>19</v>
      </c>
      <c r="H766">
        <f>VLOOKUP(Table1[[#This Row],[Called Node]],Nodes!A:D,4,0)</f>
        <v>25</v>
      </c>
      <c r="I766">
        <f>VLOOKUP(Table1[[#This Row],[Called Node]],Nodes!A:E,5,0)</f>
        <v>3</v>
      </c>
    </row>
    <row r="767" spans="1:9" x14ac:dyDescent="0.3">
      <c r="A767" t="s">
        <v>367</v>
      </c>
      <c r="B767" t="str">
        <f>VLOOKUP(Table1[[#This Row],[Calling Node]],Nodes!A:B,2,0)</f>
        <v>test_download_non_COUNTER_usage</v>
      </c>
      <c r="C767" t="s">
        <v>95</v>
      </c>
      <c r="D767" t="str">
        <f>VLOOKUP(Table1[[#This Row],[Called Node]],Nodes!A:B,2,0)</f>
        <v>create_downloads_folder</v>
      </c>
      <c r="E767" s="3" t="str">
        <f>Table1[[#This Row],[Calling Node]]&amp;" -&gt; "&amp;Table1[[#This Row],[Called Node]]</f>
        <v>test_download_non_COUNTER_usage -&gt; create_downloads_folder</v>
      </c>
      <c r="F767">
        <f>VLOOKUP(Table1[[#This Row],[Calling Node]],Nodes!A:D,4,0)</f>
        <v>34</v>
      </c>
      <c r="G767">
        <f>VLOOKUP(Table1[[#This Row],[Calling Node]],Nodes!A:E,5,0)</f>
        <v>20</v>
      </c>
      <c r="H767">
        <f>VLOOKUP(Table1[[#This Row],[Called Node]],Nodes!A:D,4,0)</f>
        <v>21</v>
      </c>
      <c r="I767">
        <f>VLOOKUP(Table1[[#This Row],[Called Node]],Nodes!A:E,5,0)</f>
        <v>3</v>
      </c>
    </row>
    <row r="768" spans="1:9" x14ac:dyDescent="0.3">
      <c r="A768" t="s">
        <v>367</v>
      </c>
      <c r="B768" t="str">
        <f>VLOOKUP(Table1[[#This Row],[Calling Node]],Nodes!A:B,2,0)</f>
        <v>test_download_non_COUNTER_usage</v>
      </c>
      <c r="C768" t="s">
        <v>105</v>
      </c>
      <c r="D768" t="str">
        <f>VLOOKUP(Table1[[#This Row],[Called Node]],Nodes!A:B,2,0)</f>
        <v>download_non_COUNTER_usage</v>
      </c>
      <c r="E768" s="3" t="str">
        <f>Table1[[#This Row],[Calling Node]]&amp;" -&gt; "&amp;Table1[[#This Row],[Called Node]]</f>
        <v>test_download_non_COUNTER_usage -&gt; download_non_COUNTER_usage</v>
      </c>
      <c r="F768">
        <f>VLOOKUP(Table1[[#This Row],[Calling Node]],Nodes!A:D,4,0)</f>
        <v>34</v>
      </c>
      <c r="G768">
        <f>VLOOKUP(Table1[[#This Row],[Calling Node]],Nodes!A:E,5,0)</f>
        <v>20</v>
      </c>
      <c r="H768">
        <f>VLOOKUP(Table1[[#This Row],[Called Node]],Nodes!A:D,4,0)</f>
        <v>21</v>
      </c>
      <c r="I768">
        <f>VLOOKUP(Table1[[#This Row],[Called Node]],Nodes!A:E,5,0)</f>
        <v>13</v>
      </c>
    </row>
    <row r="769" spans="1:9" x14ac:dyDescent="0.3">
      <c r="A769" t="s">
        <v>367</v>
      </c>
      <c r="B769" t="str">
        <f>VLOOKUP(Table1[[#This Row],[Calling Node]],Nodes!A:B,2,0)</f>
        <v>test_download_non_COUNTER_usage</v>
      </c>
      <c r="C769" t="s">
        <v>217</v>
      </c>
      <c r="D769" t="str">
        <f>VLOOKUP(Table1[[#This Row],[Called Node]],Nodes!A:B,2,0)</f>
        <v>client</v>
      </c>
      <c r="E769" s="3" t="str">
        <f>Table1[[#This Row],[Calling Node]]&amp;" -&gt; "&amp;Table1[[#This Row],[Called Node]]</f>
        <v>test_download_non_COUNTER_usage -&gt; client</v>
      </c>
      <c r="F769">
        <f>VLOOKUP(Table1[[#This Row],[Calling Node]],Nodes!A:D,4,0)</f>
        <v>34</v>
      </c>
      <c r="G769">
        <f>VLOOKUP(Table1[[#This Row],[Calling Node]],Nodes!A:E,5,0)</f>
        <v>20</v>
      </c>
      <c r="H769">
        <f>VLOOKUP(Table1[[#This Row],[Called Node]],Nodes!A:D,4,0)</f>
        <v>25</v>
      </c>
      <c r="I769">
        <f>VLOOKUP(Table1[[#This Row],[Called Node]],Nodes!A:E,5,0)</f>
        <v>3</v>
      </c>
    </row>
    <row r="770" spans="1:9" x14ac:dyDescent="0.3">
      <c r="A770" t="s">
        <v>367</v>
      </c>
      <c r="B770" t="str">
        <f>VLOOKUP(Table1[[#This Row],[Calling Node]],Nodes!A:B,2,0)</f>
        <v>test_download_non_COUNTER_usage</v>
      </c>
      <c r="C770" t="s">
        <v>251</v>
      </c>
      <c r="D770" t="str">
        <f>VLOOKUP(Table1[[#This Row],[Called Node]],Nodes!A:B,2,0)</f>
        <v>non_COUNTER_AUCT_object_after_upload</v>
      </c>
      <c r="E770" s="3" t="str">
        <f>Table1[[#This Row],[Calling Node]]&amp;" -&gt; "&amp;Table1[[#This Row],[Called Node]]</f>
        <v>test_download_non_COUNTER_usage -&gt; non_COUNTER_AUCT_object_after_upload</v>
      </c>
      <c r="F770">
        <f>VLOOKUP(Table1[[#This Row],[Calling Node]],Nodes!A:D,4,0)</f>
        <v>34</v>
      </c>
      <c r="G770">
        <f>VLOOKUP(Table1[[#This Row],[Calling Node]],Nodes!A:E,5,0)</f>
        <v>20</v>
      </c>
      <c r="H770">
        <f>VLOOKUP(Table1[[#This Row],[Called Node]],Nodes!A:D,4,0)</f>
        <v>25</v>
      </c>
      <c r="I770">
        <f>VLOOKUP(Table1[[#This Row],[Called Node]],Nodes!A:E,5,0)</f>
        <v>37</v>
      </c>
    </row>
    <row r="771" spans="1:9" x14ac:dyDescent="0.3">
      <c r="A771" t="s">
        <v>367</v>
      </c>
      <c r="B771" t="str">
        <f>VLOOKUP(Table1[[#This Row],[Calling Node]],Nodes!A:B,2,0)</f>
        <v>test_download_non_COUNTER_usage</v>
      </c>
      <c r="C771" t="s">
        <v>252</v>
      </c>
      <c r="D771" t="str">
        <f>VLOOKUP(Table1[[#This Row],[Called Node]],Nodes!A:B,2,0)</f>
        <v>non_COUNTER_file_to_download_from_S3</v>
      </c>
      <c r="E771" s="3" t="str">
        <f>Table1[[#This Row],[Calling Node]]&amp;" -&gt; "&amp;Table1[[#This Row],[Called Node]]</f>
        <v>test_download_non_COUNTER_usage -&gt; non_COUNTER_file_to_download_from_S3</v>
      </c>
      <c r="F771">
        <f>VLOOKUP(Table1[[#This Row],[Calling Node]],Nodes!A:D,4,0)</f>
        <v>34</v>
      </c>
      <c r="G771">
        <f>VLOOKUP(Table1[[#This Row],[Calling Node]],Nodes!A:E,5,0)</f>
        <v>20</v>
      </c>
      <c r="H771">
        <f>VLOOKUP(Table1[[#This Row],[Called Node]],Nodes!A:D,4,0)</f>
        <v>25</v>
      </c>
      <c r="I771">
        <f>VLOOKUP(Table1[[#This Row],[Called Node]],Nodes!A:E,5,0)</f>
        <v>38</v>
      </c>
    </row>
    <row r="772" spans="1:9" x14ac:dyDescent="0.3">
      <c r="A772" t="s">
        <v>367</v>
      </c>
      <c r="B772" t="str">
        <f>VLOOKUP(Table1[[#This Row],[Calling Node]],Nodes!A:B,2,0)</f>
        <v>test_download_non_COUNTER_usage</v>
      </c>
      <c r="C772" t="s">
        <v>253</v>
      </c>
      <c r="D772" t="str">
        <f>VLOOKUP(Table1[[#This Row],[Called Node]],Nodes!A:B,2,0)</f>
        <v>header_value</v>
      </c>
      <c r="E772" s="3" t="str">
        <f>Table1[[#This Row],[Calling Node]]&amp;" -&gt; "&amp;Table1[[#This Row],[Called Node]]</f>
        <v>test_download_non_COUNTER_usage -&gt; header_value</v>
      </c>
      <c r="F772">
        <f>VLOOKUP(Table1[[#This Row],[Calling Node]],Nodes!A:D,4,0)</f>
        <v>34</v>
      </c>
      <c r="G772">
        <f>VLOOKUP(Table1[[#This Row],[Calling Node]],Nodes!A:E,5,0)</f>
        <v>20</v>
      </c>
      <c r="H772">
        <f>VLOOKUP(Table1[[#This Row],[Called Node]],Nodes!A:D,4,0)</f>
        <v>25</v>
      </c>
      <c r="I772">
        <f>VLOOKUP(Table1[[#This Row],[Called Node]],Nodes!A:E,5,0)</f>
        <v>39</v>
      </c>
    </row>
    <row r="773" spans="1:9" x14ac:dyDescent="0.3">
      <c r="A773" t="s">
        <v>370</v>
      </c>
      <c r="B773" t="str">
        <f>VLOOKUP(Table1[[#This Row],[Calling Node]],Nodes!A:B,2,0)</f>
        <v>sample_SUSHI_PR_response_R5_dataframe</v>
      </c>
      <c r="C773" t="s">
        <v>55</v>
      </c>
      <c r="D773" s="2" t="str">
        <f>VLOOKUP(Table1[[#This Row],[Called Node]],Nodes!A:B,2,0)</f>
        <v>state_data_types</v>
      </c>
      <c r="E773" s="3" t="str">
        <f>Table1[[#This Row],[Calling Node]]&amp;" -&gt; "&amp;Table1[[#This Row],[Called Node]]</f>
        <v>sample_SUSHI_PR_response_R5_dataframe -&gt; state_data_types_in_COUNTERData</v>
      </c>
      <c r="F773">
        <f>VLOOKUP(Table1[[#This Row],[Calling Node]],Nodes!A:D,4,0)</f>
        <v>35</v>
      </c>
      <c r="G773">
        <f>VLOOKUP(Table1[[#This Row],[Calling Node]],Nodes!A:E,5,0)</f>
        <v>2</v>
      </c>
      <c r="H773">
        <f>VLOOKUP(Table1[[#This Row],[Called Node]],Nodes!A:D,4,0)</f>
        <v>12</v>
      </c>
      <c r="I773">
        <f>VLOOKUP(Table1[[#This Row],[Called Node]],Nodes!A:E,5,0)</f>
        <v>1</v>
      </c>
    </row>
    <row r="774" spans="1:9" x14ac:dyDescent="0.3">
      <c r="A774" t="s">
        <v>372</v>
      </c>
      <c r="B774" t="str">
        <f>VLOOKUP(Table1[[#This Row],[Calling Node]],Nodes!A:B,2,0)</f>
        <v>sample_SUSHI_DR_response_R5_dataframe</v>
      </c>
      <c r="C774" t="s">
        <v>55</v>
      </c>
      <c r="D774" s="2" t="str">
        <f>VLOOKUP(Table1[[#This Row],[Called Node]],Nodes!A:B,2,0)</f>
        <v>state_data_types</v>
      </c>
      <c r="E774" s="3" t="str">
        <f>Table1[[#This Row],[Calling Node]]&amp;" -&gt; "&amp;Table1[[#This Row],[Called Node]]</f>
        <v>sample_SUSHI_DR_response_R5_dataframe -&gt; state_data_types_in_COUNTERData</v>
      </c>
      <c r="F774">
        <f>VLOOKUP(Table1[[#This Row],[Calling Node]],Nodes!A:D,4,0)</f>
        <v>35</v>
      </c>
      <c r="G774">
        <f>VLOOKUP(Table1[[#This Row],[Calling Node]],Nodes!A:E,5,0)</f>
        <v>4</v>
      </c>
      <c r="H774">
        <f>VLOOKUP(Table1[[#This Row],[Called Node]],Nodes!A:D,4,0)</f>
        <v>12</v>
      </c>
      <c r="I774">
        <f>VLOOKUP(Table1[[#This Row],[Called Node]],Nodes!A:E,5,0)</f>
        <v>1</v>
      </c>
    </row>
    <row r="775" spans="1:9" x14ac:dyDescent="0.3">
      <c r="A775" t="s">
        <v>374</v>
      </c>
      <c r="B775" t="str">
        <f>VLOOKUP(Table1[[#This Row],[Calling Node]],Nodes!A:B,2,0)</f>
        <v>sample_SUSHI_TR_response_R5_dataframe</v>
      </c>
      <c r="C775" t="s">
        <v>55</v>
      </c>
      <c r="D775" s="2" t="str">
        <f>VLOOKUP(Table1[[#This Row],[Called Node]],Nodes!A:B,2,0)</f>
        <v>state_data_types</v>
      </c>
      <c r="E775" s="3" t="str">
        <f>Table1[[#This Row],[Calling Node]]&amp;" -&gt; "&amp;Table1[[#This Row],[Called Node]]</f>
        <v>sample_SUSHI_TR_response_R5_dataframe -&gt; state_data_types_in_COUNTERData</v>
      </c>
      <c r="F775">
        <f>VLOOKUP(Table1[[#This Row],[Calling Node]],Nodes!A:D,4,0)</f>
        <v>35</v>
      </c>
      <c r="G775">
        <f>VLOOKUP(Table1[[#This Row],[Calling Node]],Nodes!A:E,5,0)</f>
        <v>6</v>
      </c>
      <c r="H775">
        <f>VLOOKUP(Table1[[#This Row],[Called Node]],Nodes!A:D,4,0)</f>
        <v>12</v>
      </c>
      <c r="I775">
        <f>VLOOKUP(Table1[[#This Row],[Called Node]],Nodes!A:E,5,0)</f>
        <v>1</v>
      </c>
    </row>
    <row r="776" spans="1:9" x14ac:dyDescent="0.3">
      <c r="A776" t="s">
        <v>376</v>
      </c>
      <c r="B776" t="str">
        <f>VLOOKUP(Table1[[#This Row],[Calling Node]],Nodes!A:B,2,0)</f>
        <v>sample_SUSHI_IR_response_R5_dataframe</v>
      </c>
      <c r="C776" t="s">
        <v>55</v>
      </c>
      <c r="D776" s="2" t="str">
        <f>VLOOKUP(Table1[[#This Row],[Called Node]],Nodes!A:B,2,0)</f>
        <v>state_data_types</v>
      </c>
      <c r="E776" s="3" t="str">
        <f>Table1[[#This Row],[Calling Node]]&amp;" -&gt; "&amp;Table1[[#This Row],[Called Node]]</f>
        <v>sample_SUSHI_IR_response_R5_dataframe -&gt; state_data_types_in_COUNTERData</v>
      </c>
      <c r="F776">
        <f>VLOOKUP(Table1[[#This Row],[Calling Node]],Nodes!A:D,4,0)</f>
        <v>35</v>
      </c>
      <c r="G776">
        <f>VLOOKUP(Table1[[#This Row],[Calling Node]],Nodes!A:E,5,0)</f>
        <v>8</v>
      </c>
      <c r="H776">
        <f>VLOOKUP(Table1[[#This Row],[Called Node]],Nodes!A:D,4,0)</f>
        <v>12</v>
      </c>
      <c r="I776">
        <f>VLOOKUP(Table1[[#This Row],[Called Node]],Nodes!A:E,5,0)</f>
        <v>1</v>
      </c>
    </row>
    <row r="777" spans="1:9" x14ac:dyDescent="0.3">
      <c r="A777" t="s">
        <v>378</v>
      </c>
      <c r="B777" t="str">
        <f>VLOOKUP(Table1[[#This Row],[Calling Node]],Nodes!A:B,2,0)</f>
        <v>sample_SUSHI_PR_response_R5b1_dataframe</v>
      </c>
      <c r="C777" t="s">
        <v>55</v>
      </c>
      <c r="D777" s="2" t="str">
        <f>VLOOKUP(Table1[[#This Row],[Called Node]],Nodes!A:B,2,0)</f>
        <v>state_data_types</v>
      </c>
      <c r="E777" s="3" t="str">
        <f>Table1[[#This Row],[Calling Node]]&amp;" -&gt; "&amp;Table1[[#This Row],[Called Node]]</f>
        <v>sample_SUSHI_PR_response_R5b1_dataframe -&gt; state_data_types_in_COUNTERData</v>
      </c>
      <c r="F777">
        <f>VLOOKUP(Table1[[#This Row],[Calling Node]],Nodes!A:D,4,0)</f>
        <v>35</v>
      </c>
      <c r="G777">
        <f>VLOOKUP(Table1[[#This Row],[Calling Node]],Nodes!A:E,5,0)</f>
        <v>10</v>
      </c>
      <c r="H777">
        <f>VLOOKUP(Table1[[#This Row],[Called Node]],Nodes!A:D,4,0)</f>
        <v>12</v>
      </c>
      <c r="I777">
        <f>VLOOKUP(Table1[[#This Row],[Called Node]],Nodes!A:E,5,0)</f>
        <v>1</v>
      </c>
    </row>
    <row r="778" spans="1:9" x14ac:dyDescent="0.3">
      <c r="A778" t="s">
        <v>380</v>
      </c>
      <c r="B778" t="str">
        <f>VLOOKUP(Table1[[#This Row],[Calling Node]],Nodes!A:B,2,0)</f>
        <v>sample_SUSHI_DR_response_R5b1_dataframe</v>
      </c>
      <c r="C778" t="s">
        <v>55</v>
      </c>
      <c r="D778" s="2" t="str">
        <f>VLOOKUP(Table1[[#This Row],[Called Node]],Nodes!A:B,2,0)</f>
        <v>state_data_types</v>
      </c>
      <c r="E778" s="3" t="str">
        <f>Table1[[#This Row],[Calling Node]]&amp;" -&gt; "&amp;Table1[[#This Row],[Called Node]]</f>
        <v>sample_SUSHI_DR_response_R5b1_dataframe -&gt; state_data_types_in_COUNTERData</v>
      </c>
      <c r="F778">
        <f>VLOOKUP(Table1[[#This Row],[Calling Node]],Nodes!A:D,4,0)</f>
        <v>35</v>
      </c>
      <c r="G778">
        <f>VLOOKUP(Table1[[#This Row],[Calling Node]],Nodes!A:E,5,0)</f>
        <v>12</v>
      </c>
      <c r="H778">
        <f>VLOOKUP(Table1[[#This Row],[Called Node]],Nodes!A:D,4,0)</f>
        <v>12</v>
      </c>
      <c r="I778">
        <f>VLOOKUP(Table1[[#This Row],[Called Node]],Nodes!A:E,5,0)</f>
        <v>1</v>
      </c>
    </row>
    <row r="779" spans="1:9" x14ac:dyDescent="0.3">
      <c r="A779" t="s">
        <v>382</v>
      </c>
      <c r="B779" t="str">
        <f>VLOOKUP(Table1[[#This Row],[Calling Node]],Nodes!A:B,2,0)</f>
        <v>sample_SUSHI_TR_response_R5b1_dataframe</v>
      </c>
      <c r="C779" t="s">
        <v>55</v>
      </c>
      <c r="D779" s="2" t="str">
        <f>VLOOKUP(Table1[[#This Row],[Called Node]],Nodes!A:B,2,0)</f>
        <v>state_data_types</v>
      </c>
      <c r="E779" s="3" t="str">
        <f>Table1[[#This Row],[Calling Node]]&amp;" -&gt; "&amp;Table1[[#This Row],[Called Node]]</f>
        <v>sample_SUSHI_TR_response_R5b1_dataframe -&gt; state_data_types_in_COUNTERData</v>
      </c>
      <c r="F779">
        <f>VLOOKUP(Table1[[#This Row],[Calling Node]],Nodes!A:D,4,0)</f>
        <v>35</v>
      </c>
      <c r="G779">
        <f>VLOOKUP(Table1[[#This Row],[Calling Node]],Nodes!A:E,5,0)</f>
        <v>14</v>
      </c>
      <c r="H779">
        <f>VLOOKUP(Table1[[#This Row],[Called Node]],Nodes!A:D,4,0)</f>
        <v>12</v>
      </c>
      <c r="I779">
        <f>VLOOKUP(Table1[[#This Row],[Called Node]],Nodes!A:E,5,0)</f>
        <v>1</v>
      </c>
    </row>
    <row r="780" spans="1:9" x14ac:dyDescent="0.3">
      <c r="A780" t="s">
        <v>384</v>
      </c>
      <c r="B780" t="str">
        <f>VLOOKUP(Table1[[#This Row],[Calling Node]],Nodes!A:B,2,0)</f>
        <v>sample_SUSHI_IR_response_R5b1_dataframe</v>
      </c>
      <c r="C780" t="s">
        <v>55</v>
      </c>
      <c r="D780" s="2" t="str">
        <f>VLOOKUP(Table1[[#This Row],[Called Node]],Nodes!A:B,2,0)</f>
        <v>state_data_types</v>
      </c>
      <c r="E780" s="3" t="str">
        <f>Table1[[#This Row],[Calling Node]]&amp;" -&gt; "&amp;Table1[[#This Row],[Called Node]]</f>
        <v>sample_SUSHI_IR_response_R5b1_dataframe -&gt; state_data_types_in_COUNTERData</v>
      </c>
      <c r="F780">
        <f>VLOOKUP(Table1[[#This Row],[Calling Node]],Nodes!A:D,4,0)</f>
        <v>35</v>
      </c>
      <c r="G780">
        <f>VLOOKUP(Table1[[#This Row],[Calling Node]],Nodes!A:E,5,0)</f>
        <v>16</v>
      </c>
      <c r="H780">
        <f>VLOOKUP(Table1[[#This Row],[Called Node]],Nodes!A:D,4,0)</f>
        <v>12</v>
      </c>
      <c r="I780">
        <f>VLOOKUP(Table1[[#This Row],[Called Node]],Nodes!A:E,5,0)</f>
        <v>1</v>
      </c>
    </row>
    <row r="781" spans="1:9" x14ac:dyDescent="0.3">
      <c r="A781" t="s">
        <v>385</v>
      </c>
      <c r="B781" t="str">
        <f>VLOOKUP(Table1[[#This Row],[Calling Node]],Nodes!A:B,2,0)</f>
        <v>test_create_dataframe_from_R5_PR</v>
      </c>
      <c r="C781" t="s">
        <v>68</v>
      </c>
      <c r="D781" s="2" t="str">
        <f>VLOOKUP(Table1[[#This Row],[Called Node]],Nodes!A:B,2,0)</f>
        <v>create_dataframe</v>
      </c>
      <c r="E781" s="3" t="str">
        <f>Table1[[#This Row],[Calling Node]]&amp;" -&gt; "&amp;Table1[[#This Row],[Called Node]]</f>
        <v>test_create_dataframe_from_R5_PR -&gt; create_dataframe_in_ConvertJSONDictToDataframe</v>
      </c>
      <c r="F781">
        <f>VLOOKUP(Table1[[#This Row],[Calling Node]],Nodes!A:D,4,0)</f>
        <v>35</v>
      </c>
      <c r="G781">
        <f>VLOOKUP(Table1[[#This Row],[Calling Node]],Nodes!A:E,5,0)</f>
        <v>17</v>
      </c>
      <c r="H781">
        <f>VLOOKUP(Table1[[#This Row],[Called Node]],Nodes!A:D,4,0)</f>
        <v>15</v>
      </c>
      <c r="I781">
        <f>VLOOKUP(Table1[[#This Row],[Called Node]],Nodes!A:E,5,0)</f>
        <v>1</v>
      </c>
    </row>
    <row r="782" spans="1:9" x14ac:dyDescent="0.3">
      <c r="A782" t="s">
        <v>385</v>
      </c>
      <c r="B782" t="str">
        <f>VLOOKUP(Table1[[#This Row],[Calling Node]],Nodes!A:B,2,0)</f>
        <v>test_create_dataframe_from_R5_PR</v>
      </c>
      <c r="C782" t="s">
        <v>369</v>
      </c>
      <c r="D782" t="str">
        <f>VLOOKUP(Table1[[#This Row],[Called Node]],Nodes!A:B,2,0)</f>
        <v>sample_SUSHI_PR_response_R5_JSON_dict</v>
      </c>
      <c r="E782" s="3" t="str">
        <f>Table1[[#This Row],[Calling Node]]&amp;" -&gt; "&amp;Table1[[#This Row],[Called Node]]</f>
        <v>test_create_dataframe_from_R5_PR -&gt; sample_SUSHI_PR_response_R5_JSON_dict</v>
      </c>
      <c r="F782">
        <f>VLOOKUP(Table1[[#This Row],[Calling Node]],Nodes!A:D,4,0)</f>
        <v>35</v>
      </c>
      <c r="G782">
        <f>VLOOKUP(Table1[[#This Row],[Calling Node]],Nodes!A:E,5,0)</f>
        <v>17</v>
      </c>
      <c r="H782">
        <f>VLOOKUP(Table1[[#This Row],[Called Node]],Nodes!A:D,4,0)</f>
        <v>35</v>
      </c>
      <c r="I782">
        <f>VLOOKUP(Table1[[#This Row],[Called Node]],Nodes!A:E,5,0)</f>
        <v>1</v>
      </c>
    </row>
    <row r="783" spans="1:9" x14ac:dyDescent="0.3">
      <c r="A783" t="s">
        <v>385</v>
      </c>
      <c r="B783" t="str">
        <f>VLOOKUP(Table1[[#This Row],[Calling Node]],Nodes!A:B,2,0)</f>
        <v>test_create_dataframe_from_R5_PR</v>
      </c>
      <c r="C783" t="s">
        <v>370</v>
      </c>
      <c r="D783" t="str">
        <f>VLOOKUP(Table1[[#This Row],[Called Node]],Nodes!A:B,2,0)</f>
        <v>sample_SUSHI_PR_response_R5_dataframe</v>
      </c>
      <c r="E783" s="3" t="str">
        <f>Table1[[#This Row],[Calling Node]]&amp;" -&gt; "&amp;Table1[[#This Row],[Called Node]]</f>
        <v>test_create_dataframe_from_R5_PR -&gt; sample_SUSHI_PR_response_R5_dataframe</v>
      </c>
      <c r="F783">
        <f>VLOOKUP(Table1[[#This Row],[Calling Node]],Nodes!A:D,4,0)</f>
        <v>35</v>
      </c>
      <c r="G783">
        <f>VLOOKUP(Table1[[#This Row],[Calling Node]],Nodes!A:E,5,0)</f>
        <v>17</v>
      </c>
      <c r="H783">
        <f>VLOOKUP(Table1[[#This Row],[Called Node]],Nodes!A:D,4,0)</f>
        <v>35</v>
      </c>
      <c r="I783">
        <f>VLOOKUP(Table1[[#This Row],[Called Node]],Nodes!A:E,5,0)</f>
        <v>2</v>
      </c>
    </row>
    <row r="784" spans="1:9" x14ac:dyDescent="0.3">
      <c r="A784" t="s">
        <v>386</v>
      </c>
      <c r="B784" t="str">
        <f>VLOOKUP(Table1[[#This Row],[Calling Node]],Nodes!A:B,2,0)</f>
        <v>test_create_dataframe_from_R5_DR</v>
      </c>
      <c r="C784" t="s">
        <v>68</v>
      </c>
      <c r="D784" s="2" t="str">
        <f>VLOOKUP(Table1[[#This Row],[Called Node]],Nodes!A:B,2,0)</f>
        <v>create_dataframe</v>
      </c>
      <c r="E784" s="3" t="str">
        <f>Table1[[#This Row],[Calling Node]]&amp;" -&gt; "&amp;Table1[[#This Row],[Called Node]]</f>
        <v>test_create_dataframe_from_R5_DR -&gt; create_dataframe_in_ConvertJSONDictToDataframe</v>
      </c>
      <c r="F784">
        <f>VLOOKUP(Table1[[#This Row],[Calling Node]],Nodes!A:D,4,0)</f>
        <v>35</v>
      </c>
      <c r="G784">
        <f>VLOOKUP(Table1[[#This Row],[Calling Node]],Nodes!A:E,5,0)</f>
        <v>18</v>
      </c>
      <c r="H784">
        <f>VLOOKUP(Table1[[#This Row],[Called Node]],Nodes!A:D,4,0)</f>
        <v>15</v>
      </c>
      <c r="I784">
        <f>VLOOKUP(Table1[[#This Row],[Called Node]],Nodes!A:E,5,0)</f>
        <v>1</v>
      </c>
    </row>
    <row r="785" spans="1:9" x14ac:dyDescent="0.3">
      <c r="A785" t="s">
        <v>386</v>
      </c>
      <c r="B785" t="str">
        <f>VLOOKUP(Table1[[#This Row],[Calling Node]],Nodes!A:B,2,0)</f>
        <v>test_create_dataframe_from_R5_DR</v>
      </c>
      <c r="C785" t="s">
        <v>371</v>
      </c>
      <c r="D785" t="str">
        <f>VLOOKUP(Table1[[#This Row],[Called Node]],Nodes!A:B,2,0)</f>
        <v>sample_SUSHI_DR_response_R5_JSON_dict</v>
      </c>
      <c r="E785" s="3" t="str">
        <f>Table1[[#This Row],[Calling Node]]&amp;" -&gt; "&amp;Table1[[#This Row],[Called Node]]</f>
        <v>test_create_dataframe_from_R5_DR -&gt; sample_SUSHI_DR_response_R5_JSON_dict</v>
      </c>
      <c r="F785">
        <f>VLOOKUP(Table1[[#This Row],[Calling Node]],Nodes!A:D,4,0)</f>
        <v>35</v>
      </c>
      <c r="G785">
        <f>VLOOKUP(Table1[[#This Row],[Calling Node]],Nodes!A:E,5,0)</f>
        <v>18</v>
      </c>
      <c r="H785">
        <f>VLOOKUP(Table1[[#This Row],[Called Node]],Nodes!A:D,4,0)</f>
        <v>35</v>
      </c>
      <c r="I785">
        <f>VLOOKUP(Table1[[#This Row],[Called Node]],Nodes!A:E,5,0)</f>
        <v>3</v>
      </c>
    </row>
    <row r="786" spans="1:9" x14ac:dyDescent="0.3">
      <c r="A786" t="s">
        <v>386</v>
      </c>
      <c r="B786" t="str">
        <f>VLOOKUP(Table1[[#This Row],[Calling Node]],Nodes!A:B,2,0)</f>
        <v>test_create_dataframe_from_R5_DR</v>
      </c>
      <c r="C786" t="s">
        <v>372</v>
      </c>
      <c r="D786" t="str">
        <f>VLOOKUP(Table1[[#This Row],[Called Node]],Nodes!A:B,2,0)</f>
        <v>sample_SUSHI_DR_response_R5_dataframe</v>
      </c>
      <c r="E786" s="3" t="str">
        <f>Table1[[#This Row],[Calling Node]]&amp;" -&gt; "&amp;Table1[[#This Row],[Called Node]]</f>
        <v>test_create_dataframe_from_R5_DR -&gt; sample_SUSHI_DR_response_R5_dataframe</v>
      </c>
      <c r="F786">
        <f>VLOOKUP(Table1[[#This Row],[Calling Node]],Nodes!A:D,4,0)</f>
        <v>35</v>
      </c>
      <c r="G786">
        <f>VLOOKUP(Table1[[#This Row],[Calling Node]],Nodes!A:E,5,0)</f>
        <v>18</v>
      </c>
      <c r="H786">
        <f>VLOOKUP(Table1[[#This Row],[Called Node]],Nodes!A:D,4,0)</f>
        <v>35</v>
      </c>
      <c r="I786">
        <f>VLOOKUP(Table1[[#This Row],[Called Node]],Nodes!A:E,5,0)</f>
        <v>4</v>
      </c>
    </row>
    <row r="787" spans="1:9" x14ac:dyDescent="0.3">
      <c r="A787" t="s">
        <v>387</v>
      </c>
      <c r="B787" t="str">
        <f>VLOOKUP(Table1[[#This Row],[Calling Node]],Nodes!A:B,2,0)</f>
        <v>test_create_dataframe_from_R5_TR</v>
      </c>
      <c r="C787" t="s">
        <v>68</v>
      </c>
      <c r="D787" s="2" t="str">
        <f>VLOOKUP(Table1[[#This Row],[Called Node]],Nodes!A:B,2,0)</f>
        <v>create_dataframe</v>
      </c>
      <c r="E787" s="3" t="str">
        <f>Table1[[#This Row],[Calling Node]]&amp;" -&gt; "&amp;Table1[[#This Row],[Called Node]]</f>
        <v>test_create_dataframe_from_R5_TR -&gt; create_dataframe_in_ConvertJSONDictToDataframe</v>
      </c>
      <c r="F787">
        <f>VLOOKUP(Table1[[#This Row],[Calling Node]],Nodes!A:D,4,0)</f>
        <v>35</v>
      </c>
      <c r="G787">
        <f>VLOOKUP(Table1[[#This Row],[Calling Node]],Nodes!A:E,5,0)</f>
        <v>19</v>
      </c>
      <c r="H787">
        <f>VLOOKUP(Table1[[#This Row],[Called Node]],Nodes!A:D,4,0)</f>
        <v>15</v>
      </c>
      <c r="I787">
        <f>VLOOKUP(Table1[[#This Row],[Called Node]],Nodes!A:E,5,0)</f>
        <v>1</v>
      </c>
    </row>
    <row r="788" spans="1:9" x14ac:dyDescent="0.3">
      <c r="A788" t="s">
        <v>387</v>
      </c>
      <c r="B788" t="str">
        <f>VLOOKUP(Table1[[#This Row],[Calling Node]],Nodes!A:B,2,0)</f>
        <v>test_create_dataframe_from_R5_TR</v>
      </c>
      <c r="C788" t="s">
        <v>373</v>
      </c>
      <c r="D788" t="str">
        <f>VLOOKUP(Table1[[#This Row],[Called Node]],Nodes!A:B,2,0)</f>
        <v>sample_SUSHI_TR_response_R5_JSON_dict</v>
      </c>
      <c r="E788" s="3" t="str">
        <f>Table1[[#This Row],[Calling Node]]&amp;" -&gt; "&amp;Table1[[#This Row],[Called Node]]</f>
        <v>test_create_dataframe_from_R5_TR -&gt; sample_SUSHI_TR_response_R5_JSON_dict</v>
      </c>
      <c r="F788">
        <f>VLOOKUP(Table1[[#This Row],[Calling Node]],Nodes!A:D,4,0)</f>
        <v>35</v>
      </c>
      <c r="G788">
        <f>VLOOKUP(Table1[[#This Row],[Calling Node]],Nodes!A:E,5,0)</f>
        <v>19</v>
      </c>
      <c r="H788">
        <f>VLOOKUP(Table1[[#This Row],[Called Node]],Nodes!A:D,4,0)</f>
        <v>35</v>
      </c>
      <c r="I788">
        <f>VLOOKUP(Table1[[#This Row],[Called Node]],Nodes!A:E,5,0)</f>
        <v>5</v>
      </c>
    </row>
    <row r="789" spans="1:9" x14ac:dyDescent="0.3">
      <c r="A789" t="s">
        <v>387</v>
      </c>
      <c r="B789" t="str">
        <f>VLOOKUP(Table1[[#This Row],[Calling Node]],Nodes!A:B,2,0)</f>
        <v>test_create_dataframe_from_R5_TR</v>
      </c>
      <c r="C789" t="s">
        <v>374</v>
      </c>
      <c r="D789" t="str">
        <f>VLOOKUP(Table1[[#This Row],[Called Node]],Nodes!A:B,2,0)</f>
        <v>sample_SUSHI_TR_response_R5_dataframe</v>
      </c>
      <c r="E789" s="3" t="str">
        <f>Table1[[#This Row],[Calling Node]]&amp;" -&gt; "&amp;Table1[[#This Row],[Called Node]]</f>
        <v>test_create_dataframe_from_R5_TR -&gt; sample_SUSHI_TR_response_R5_dataframe</v>
      </c>
      <c r="F789">
        <f>VLOOKUP(Table1[[#This Row],[Calling Node]],Nodes!A:D,4,0)</f>
        <v>35</v>
      </c>
      <c r="G789">
        <f>VLOOKUP(Table1[[#This Row],[Calling Node]],Nodes!A:E,5,0)</f>
        <v>19</v>
      </c>
      <c r="H789">
        <f>VLOOKUP(Table1[[#This Row],[Called Node]],Nodes!A:D,4,0)</f>
        <v>35</v>
      </c>
      <c r="I789">
        <f>VLOOKUP(Table1[[#This Row],[Called Node]],Nodes!A:E,5,0)</f>
        <v>6</v>
      </c>
    </row>
    <row r="790" spans="1:9" x14ac:dyDescent="0.3">
      <c r="A790" t="s">
        <v>388</v>
      </c>
      <c r="B790" t="str">
        <f>VLOOKUP(Table1[[#This Row],[Calling Node]],Nodes!A:B,2,0)</f>
        <v>test_create_dataframe_from_R5_IR</v>
      </c>
      <c r="C790" t="s">
        <v>68</v>
      </c>
      <c r="D790" s="2" t="str">
        <f>VLOOKUP(Table1[[#This Row],[Called Node]],Nodes!A:B,2,0)</f>
        <v>create_dataframe</v>
      </c>
      <c r="E790" s="3" t="str">
        <f>Table1[[#This Row],[Calling Node]]&amp;" -&gt; "&amp;Table1[[#This Row],[Called Node]]</f>
        <v>test_create_dataframe_from_R5_IR -&gt; create_dataframe_in_ConvertJSONDictToDataframe</v>
      </c>
      <c r="F790">
        <f>VLOOKUP(Table1[[#This Row],[Calling Node]],Nodes!A:D,4,0)</f>
        <v>35</v>
      </c>
      <c r="G790">
        <f>VLOOKUP(Table1[[#This Row],[Calling Node]],Nodes!A:E,5,0)</f>
        <v>20</v>
      </c>
      <c r="H790">
        <f>VLOOKUP(Table1[[#This Row],[Called Node]],Nodes!A:D,4,0)</f>
        <v>15</v>
      </c>
      <c r="I790">
        <f>VLOOKUP(Table1[[#This Row],[Called Node]],Nodes!A:E,5,0)</f>
        <v>1</v>
      </c>
    </row>
    <row r="791" spans="1:9" x14ac:dyDescent="0.3">
      <c r="A791" t="s">
        <v>388</v>
      </c>
      <c r="B791" t="str">
        <f>VLOOKUP(Table1[[#This Row],[Calling Node]],Nodes!A:B,2,0)</f>
        <v>test_create_dataframe_from_R5_IR</v>
      </c>
      <c r="C791" t="s">
        <v>375</v>
      </c>
      <c r="D791" t="str">
        <f>VLOOKUP(Table1[[#This Row],[Called Node]],Nodes!A:B,2,0)</f>
        <v>sample_SUSHI_IR_response_R5_JSON_dict</v>
      </c>
      <c r="E791" s="3" t="str">
        <f>Table1[[#This Row],[Calling Node]]&amp;" -&gt; "&amp;Table1[[#This Row],[Called Node]]</f>
        <v>test_create_dataframe_from_R5_IR -&gt; sample_SUSHI_IR_response_R5_JSON_dict</v>
      </c>
      <c r="F791">
        <f>VLOOKUP(Table1[[#This Row],[Calling Node]],Nodes!A:D,4,0)</f>
        <v>35</v>
      </c>
      <c r="G791">
        <f>VLOOKUP(Table1[[#This Row],[Calling Node]],Nodes!A:E,5,0)</f>
        <v>20</v>
      </c>
      <c r="H791">
        <f>VLOOKUP(Table1[[#This Row],[Called Node]],Nodes!A:D,4,0)</f>
        <v>35</v>
      </c>
      <c r="I791">
        <f>VLOOKUP(Table1[[#This Row],[Called Node]],Nodes!A:E,5,0)</f>
        <v>7</v>
      </c>
    </row>
    <row r="792" spans="1:9" x14ac:dyDescent="0.3">
      <c r="A792" t="s">
        <v>388</v>
      </c>
      <c r="B792" t="str">
        <f>VLOOKUP(Table1[[#This Row],[Calling Node]],Nodes!A:B,2,0)</f>
        <v>test_create_dataframe_from_R5_IR</v>
      </c>
      <c r="C792" t="s">
        <v>376</v>
      </c>
      <c r="D792" t="str">
        <f>VLOOKUP(Table1[[#This Row],[Called Node]],Nodes!A:B,2,0)</f>
        <v>sample_SUSHI_IR_response_R5_dataframe</v>
      </c>
      <c r="E792" s="3" t="str">
        <f>Table1[[#This Row],[Calling Node]]&amp;" -&gt; "&amp;Table1[[#This Row],[Called Node]]</f>
        <v>test_create_dataframe_from_R5_IR -&gt; sample_SUSHI_IR_response_R5_dataframe</v>
      </c>
      <c r="F792">
        <f>VLOOKUP(Table1[[#This Row],[Calling Node]],Nodes!A:D,4,0)</f>
        <v>35</v>
      </c>
      <c r="G792">
        <f>VLOOKUP(Table1[[#This Row],[Calling Node]],Nodes!A:E,5,0)</f>
        <v>20</v>
      </c>
      <c r="H792">
        <f>VLOOKUP(Table1[[#This Row],[Called Node]],Nodes!A:D,4,0)</f>
        <v>35</v>
      </c>
      <c r="I792">
        <f>VLOOKUP(Table1[[#This Row],[Called Node]],Nodes!A:E,5,0)</f>
        <v>8</v>
      </c>
    </row>
    <row r="793" spans="1:9" x14ac:dyDescent="0.3">
      <c r="A793" t="s">
        <v>389</v>
      </c>
      <c r="B793" t="str">
        <f>VLOOKUP(Table1[[#This Row],[Calling Node]],Nodes!A:B,2,0)</f>
        <v>test_create_dataframe_from_R5b1_PR</v>
      </c>
      <c r="C793" t="s">
        <v>68</v>
      </c>
      <c r="D793" s="2" t="str">
        <f>VLOOKUP(Table1[[#This Row],[Called Node]],Nodes!A:B,2,0)</f>
        <v>create_dataframe</v>
      </c>
      <c r="E793" s="3" t="str">
        <f>Table1[[#This Row],[Calling Node]]&amp;" -&gt; "&amp;Table1[[#This Row],[Called Node]]</f>
        <v>test_create_dataframe_from_R5b1_PR -&gt; create_dataframe_in_ConvertJSONDictToDataframe</v>
      </c>
      <c r="F793">
        <f>VLOOKUP(Table1[[#This Row],[Calling Node]],Nodes!A:D,4,0)</f>
        <v>35</v>
      </c>
      <c r="G793">
        <f>VLOOKUP(Table1[[#This Row],[Calling Node]],Nodes!A:E,5,0)</f>
        <v>21</v>
      </c>
      <c r="H793">
        <f>VLOOKUP(Table1[[#This Row],[Called Node]],Nodes!A:D,4,0)</f>
        <v>15</v>
      </c>
      <c r="I793">
        <f>VLOOKUP(Table1[[#This Row],[Called Node]],Nodes!A:E,5,0)</f>
        <v>1</v>
      </c>
    </row>
    <row r="794" spans="1:9" x14ac:dyDescent="0.3">
      <c r="A794" t="s">
        <v>389</v>
      </c>
      <c r="B794" t="str">
        <f>VLOOKUP(Table1[[#This Row],[Calling Node]],Nodes!A:B,2,0)</f>
        <v>test_create_dataframe_from_R5b1_PR</v>
      </c>
      <c r="C794" t="s">
        <v>377</v>
      </c>
      <c r="D794" t="str">
        <f>VLOOKUP(Table1[[#This Row],[Called Node]],Nodes!A:B,2,0)</f>
        <v>sample_SUSHI_PR_response_R5b1_JSON_dict</v>
      </c>
      <c r="E794" s="3" t="str">
        <f>Table1[[#This Row],[Calling Node]]&amp;" -&gt; "&amp;Table1[[#This Row],[Called Node]]</f>
        <v>test_create_dataframe_from_R5b1_PR -&gt; sample_SUSHI_PR_response_R5b1_JSON_dict</v>
      </c>
      <c r="F794">
        <f>VLOOKUP(Table1[[#This Row],[Calling Node]],Nodes!A:D,4,0)</f>
        <v>35</v>
      </c>
      <c r="G794">
        <f>VLOOKUP(Table1[[#This Row],[Calling Node]],Nodes!A:E,5,0)</f>
        <v>21</v>
      </c>
      <c r="H794">
        <f>VLOOKUP(Table1[[#This Row],[Called Node]],Nodes!A:D,4,0)</f>
        <v>35</v>
      </c>
      <c r="I794">
        <f>VLOOKUP(Table1[[#This Row],[Called Node]],Nodes!A:E,5,0)</f>
        <v>9</v>
      </c>
    </row>
    <row r="795" spans="1:9" x14ac:dyDescent="0.3">
      <c r="A795" t="s">
        <v>389</v>
      </c>
      <c r="B795" t="str">
        <f>VLOOKUP(Table1[[#This Row],[Calling Node]],Nodes!A:B,2,0)</f>
        <v>test_create_dataframe_from_R5b1_PR</v>
      </c>
      <c r="C795" t="s">
        <v>378</v>
      </c>
      <c r="D795" t="str">
        <f>VLOOKUP(Table1[[#This Row],[Called Node]],Nodes!A:B,2,0)</f>
        <v>sample_SUSHI_PR_response_R5b1_dataframe</v>
      </c>
      <c r="E795" s="3" t="str">
        <f>Table1[[#This Row],[Calling Node]]&amp;" -&gt; "&amp;Table1[[#This Row],[Called Node]]</f>
        <v>test_create_dataframe_from_R5b1_PR -&gt; sample_SUSHI_PR_response_R5b1_dataframe</v>
      </c>
      <c r="F795">
        <f>VLOOKUP(Table1[[#This Row],[Calling Node]],Nodes!A:D,4,0)</f>
        <v>35</v>
      </c>
      <c r="G795">
        <f>VLOOKUP(Table1[[#This Row],[Calling Node]],Nodes!A:E,5,0)</f>
        <v>21</v>
      </c>
      <c r="H795">
        <f>VLOOKUP(Table1[[#This Row],[Called Node]],Nodes!A:D,4,0)</f>
        <v>35</v>
      </c>
      <c r="I795">
        <f>VLOOKUP(Table1[[#This Row],[Called Node]],Nodes!A:E,5,0)</f>
        <v>10</v>
      </c>
    </row>
    <row r="796" spans="1:9" x14ac:dyDescent="0.3">
      <c r="A796" t="s">
        <v>390</v>
      </c>
      <c r="B796" t="str">
        <f>VLOOKUP(Table1[[#This Row],[Calling Node]],Nodes!A:B,2,0)</f>
        <v>test_create_dataframe_from_R5b1_DR</v>
      </c>
      <c r="C796" t="s">
        <v>68</v>
      </c>
      <c r="D796" s="2" t="str">
        <f>VLOOKUP(Table1[[#This Row],[Called Node]],Nodes!A:B,2,0)</f>
        <v>create_dataframe</v>
      </c>
      <c r="E796" s="3" t="str">
        <f>Table1[[#This Row],[Calling Node]]&amp;" -&gt; "&amp;Table1[[#This Row],[Called Node]]</f>
        <v>test_create_dataframe_from_R5b1_DR -&gt; create_dataframe_in_ConvertJSONDictToDataframe</v>
      </c>
      <c r="F796">
        <f>VLOOKUP(Table1[[#This Row],[Calling Node]],Nodes!A:D,4,0)</f>
        <v>35</v>
      </c>
      <c r="G796">
        <f>VLOOKUP(Table1[[#This Row],[Calling Node]],Nodes!A:E,5,0)</f>
        <v>22</v>
      </c>
      <c r="H796">
        <f>VLOOKUP(Table1[[#This Row],[Called Node]],Nodes!A:D,4,0)</f>
        <v>15</v>
      </c>
      <c r="I796">
        <f>VLOOKUP(Table1[[#This Row],[Called Node]],Nodes!A:E,5,0)</f>
        <v>1</v>
      </c>
    </row>
    <row r="797" spans="1:9" x14ac:dyDescent="0.3">
      <c r="A797" t="s">
        <v>390</v>
      </c>
      <c r="B797" t="str">
        <f>VLOOKUP(Table1[[#This Row],[Calling Node]],Nodes!A:B,2,0)</f>
        <v>test_create_dataframe_from_R5b1_DR</v>
      </c>
      <c r="C797" t="s">
        <v>379</v>
      </c>
      <c r="D797" t="str">
        <f>VLOOKUP(Table1[[#This Row],[Called Node]],Nodes!A:B,2,0)</f>
        <v>sample_SUSHI_DR_response_R5b1_JSON_dict</v>
      </c>
      <c r="E797" s="3" t="str">
        <f>Table1[[#This Row],[Calling Node]]&amp;" -&gt; "&amp;Table1[[#This Row],[Called Node]]</f>
        <v>test_create_dataframe_from_R5b1_DR -&gt; sample_SUSHI_DR_response_R5b1_JSON_dict</v>
      </c>
      <c r="F797">
        <f>VLOOKUP(Table1[[#This Row],[Calling Node]],Nodes!A:D,4,0)</f>
        <v>35</v>
      </c>
      <c r="G797">
        <f>VLOOKUP(Table1[[#This Row],[Calling Node]],Nodes!A:E,5,0)</f>
        <v>22</v>
      </c>
      <c r="H797">
        <f>VLOOKUP(Table1[[#This Row],[Called Node]],Nodes!A:D,4,0)</f>
        <v>35</v>
      </c>
      <c r="I797">
        <f>VLOOKUP(Table1[[#This Row],[Called Node]],Nodes!A:E,5,0)</f>
        <v>11</v>
      </c>
    </row>
    <row r="798" spans="1:9" x14ac:dyDescent="0.3">
      <c r="A798" t="s">
        <v>390</v>
      </c>
      <c r="B798" t="str">
        <f>VLOOKUP(Table1[[#This Row],[Calling Node]],Nodes!A:B,2,0)</f>
        <v>test_create_dataframe_from_R5b1_DR</v>
      </c>
      <c r="C798" t="s">
        <v>380</v>
      </c>
      <c r="D798" t="str">
        <f>VLOOKUP(Table1[[#This Row],[Called Node]],Nodes!A:B,2,0)</f>
        <v>sample_SUSHI_DR_response_R5b1_dataframe</v>
      </c>
      <c r="E798" s="3" t="str">
        <f>Table1[[#This Row],[Calling Node]]&amp;" -&gt; "&amp;Table1[[#This Row],[Called Node]]</f>
        <v>test_create_dataframe_from_R5b1_DR -&gt; sample_SUSHI_DR_response_R5b1_dataframe</v>
      </c>
      <c r="F798">
        <f>VLOOKUP(Table1[[#This Row],[Calling Node]],Nodes!A:D,4,0)</f>
        <v>35</v>
      </c>
      <c r="G798">
        <f>VLOOKUP(Table1[[#This Row],[Calling Node]],Nodes!A:E,5,0)</f>
        <v>22</v>
      </c>
      <c r="H798">
        <f>VLOOKUP(Table1[[#This Row],[Called Node]],Nodes!A:D,4,0)</f>
        <v>35</v>
      </c>
      <c r="I798">
        <f>VLOOKUP(Table1[[#This Row],[Called Node]],Nodes!A:E,5,0)</f>
        <v>12</v>
      </c>
    </row>
    <row r="799" spans="1:9" x14ac:dyDescent="0.3">
      <c r="A799" t="s">
        <v>391</v>
      </c>
      <c r="B799" t="str">
        <f>VLOOKUP(Table1[[#This Row],[Calling Node]],Nodes!A:B,2,0)</f>
        <v>test_create_dataframe_from_R5b1_TR</v>
      </c>
      <c r="C799" t="s">
        <v>68</v>
      </c>
      <c r="D799" s="2" t="str">
        <f>VLOOKUP(Table1[[#This Row],[Called Node]],Nodes!A:B,2,0)</f>
        <v>create_dataframe</v>
      </c>
      <c r="E799" s="3" t="str">
        <f>Table1[[#This Row],[Calling Node]]&amp;" -&gt; "&amp;Table1[[#This Row],[Called Node]]</f>
        <v>test_create_dataframe_from_R5b1_TR -&gt; create_dataframe_in_ConvertJSONDictToDataframe</v>
      </c>
      <c r="F799">
        <f>VLOOKUP(Table1[[#This Row],[Calling Node]],Nodes!A:D,4,0)</f>
        <v>35</v>
      </c>
      <c r="G799">
        <f>VLOOKUP(Table1[[#This Row],[Calling Node]],Nodes!A:E,5,0)</f>
        <v>23</v>
      </c>
      <c r="H799">
        <f>VLOOKUP(Table1[[#This Row],[Called Node]],Nodes!A:D,4,0)</f>
        <v>15</v>
      </c>
      <c r="I799">
        <f>VLOOKUP(Table1[[#This Row],[Called Node]],Nodes!A:E,5,0)</f>
        <v>1</v>
      </c>
    </row>
    <row r="800" spans="1:9" x14ac:dyDescent="0.3">
      <c r="A800" t="s">
        <v>391</v>
      </c>
      <c r="B800" t="str">
        <f>VLOOKUP(Table1[[#This Row],[Calling Node]],Nodes!A:B,2,0)</f>
        <v>test_create_dataframe_from_R5b1_TR</v>
      </c>
      <c r="C800" t="s">
        <v>381</v>
      </c>
      <c r="D800" t="str">
        <f>VLOOKUP(Table1[[#This Row],[Called Node]],Nodes!A:B,2,0)</f>
        <v>sample_SUSHI_TR_response_R5b1_JSON_dict</v>
      </c>
      <c r="E800" s="3" t="str">
        <f>Table1[[#This Row],[Calling Node]]&amp;" -&gt; "&amp;Table1[[#This Row],[Called Node]]</f>
        <v>test_create_dataframe_from_R5b1_TR -&gt; sample_SUSHI_TR_response_R5b1_JSON_dict</v>
      </c>
      <c r="F800">
        <f>VLOOKUP(Table1[[#This Row],[Calling Node]],Nodes!A:D,4,0)</f>
        <v>35</v>
      </c>
      <c r="G800">
        <f>VLOOKUP(Table1[[#This Row],[Calling Node]],Nodes!A:E,5,0)</f>
        <v>23</v>
      </c>
      <c r="H800">
        <f>VLOOKUP(Table1[[#This Row],[Called Node]],Nodes!A:D,4,0)</f>
        <v>35</v>
      </c>
      <c r="I800">
        <f>VLOOKUP(Table1[[#This Row],[Called Node]],Nodes!A:E,5,0)</f>
        <v>13</v>
      </c>
    </row>
    <row r="801" spans="1:9" x14ac:dyDescent="0.3">
      <c r="A801" t="s">
        <v>391</v>
      </c>
      <c r="B801" t="str">
        <f>VLOOKUP(Table1[[#This Row],[Calling Node]],Nodes!A:B,2,0)</f>
        <v>test_create_dataframe_from_R5b1_TR</v>
      </c>
      <c r="C801" t="s">
        <v>382</v>
      </c>
      <c r="D801" t="str">
        <f>VLOOKUP(Table1[[#This Row],[Called Node]],Nodes!A:B,2,0)</f>
        <v>sample_SUSHI_TR_response_R5b1_dataframe</v>
      </c>
      <c r="E801" s="3" t="str">
        <f>Table1[[#This Row],[Calling Node]]&amp;" -&gt; "&amp;Table1[[#This Row],[Called Node]]</f>
        <v>test_create_dataframe_from_R5b1_TR -&gt; sample_SUSHI_TR_response_R5b1_dataframe</v>
      </c>
      <c r="F801">
        <f>VLOOKUP(Table1[[#This Row],[Calling Node]],Nodes!A:D,4,0)</f>
        <v>35</v>
      </c>
      <c r="G801">
        <f>VLOOKUP(Table1[[#This Row],[Calling Node]],Nodes!A:E,5,0)</f>
        <v>23</v>
      </c>
      <c r="H801">
        <f>VLOOKUP(Table1[[#This Row],[Called Node]],Nodes!A:D,4,0)</f>
        <v>35</v>
      </c>
      <c r="I801">
        <f>VLOOKUP(Table1[[#This Row],[Called Node]],Nodes!A:E,5,0)</f>
        <v>14</v>
      </c>
    </row>
    <row r="802" spans="1:9" x14ac:dyDescent="0.3">
      <c r="A802" t="s">
        <v>392</v>
      </c>
      <c r="B802" t="str">
        <f>VLOOKUP(Table1[[#This Row],[Calling Node]],Nodes!A:B,2,0)</f>
        <v>test_create_dataframe_from_R5b1_IR</v>
      </c>
      <c r="C802" t="s">
        <v>68</v>
      </c>
      <c r="D802" s="2" t="str">
        <f>VLOOKUP(Table1[[#This Row],[Called Node]],Nodes!A:B,2,0)</f>
        <v>create_dataframe</v>
      </c>
      <c r="E802" s="3" t="str">
        <f>Table1[[#This Row],[Calling Node]]&amp;" -&gt; "&amp;Table1[[#This Row],[Called Node]]</f>
        <v>test_create_dataframe_from_R5b1_IR -&gt; create_dataframe_in_ConvertJSONDictToDataframe</v>
      </c>
      <c r="F802">
        <f>VLOOKUP(Table1[[#This Row],[Calling Node]],Nodes!A:D,4,0)</f>
        <v>35</v>
      </c>
      <c r="G802">
        <f>VLOOKUP(Table1[[#This Row],[Calling Node]],Nodes!A:E,5,0)</f>
        <v>24</v>
      </c>
      <c r="H802">
        <f>VLOOKUP(Table1[[#This Row],[Called Node]],Nodes!A:D,4,0)</f>
        <v>15</v>
      </c>
      <c r="I802">
        <f>VLOOKUP(Table1[[#This Row],[Called Node]],Nodes!A:E,5,0)</f>
        <v>1</v>
      </c>
    </row>
    <row r="803" spans="1:9" x14ac:dyDescent="0.3">
      <c r="A803" t="s">
        <v>392</v>
      </c>
      <c r="B803" t="str">
        <f>VLOOKUP(Table1[[#This Row],[Calling Node]],Nodes!A:B,2,0)</f>
        <v>test_create_dataframe_from_R5b1_IR</v>
      </c>
      <c r="C803" t="s">
        <v>383</v>
      </c>
      <c r="D803" t="str">
        <f>VLOOKUP(Table1[[#This Row],[Called Node]],Nodes!A:B,2,0)</f>
        <v>sample_SUSHI_IR_response_R5b1_JSON_dict</v>
      </c>
      <c r="E803" s="3" t="str">
        <f>Table1[[#This Row],[Calling Node]]&amp;" -&gt; "&amp;Table1[[#This Row],[Called Node]]</f>
        <v>test_create_dataframe_from_R5b1_IR -&gt; sample_SUSHI_IR_response_R5b1_JSON_dict</v>
      </c>
      <c r="F803">
        <f>VLOOKUP(Table1[[#This Row],[Calling Node]],Nodes!A:D,4,0)</f>
        <v>35</v>
      </c>
      <c r="G803">
        <f>VLOOKUP(Table1[[#This Row],[Calling Node]],Nodes!A:E,5,0)</f>
        <v>24</v>
      </c>
      <c r="H803">
        <f>VLOOKUP(Table1[[#This Row],[Called Node]],Nodes!A:D,4,0)</f>
        <v>35</v>
      </c>
      <c r="I803">
        <f>VLOOKUP(Table1[[#This Row],[Called Node]],Nodes!A:E,5,0)</f>
        <v>15</v>
      </c>
    </row>
    <row r="804" spans="1:9" x14ac:dyDescent="0.3">
      <c r="A804" t="s">
        <v>392</v>
      </c>
      <c r="B804" t="str">
        <f>VLOOKUP(Table1[[#This Row],[Calling Node]],Nodes!A:B,2,0)</f>
        <v>test_create_dataframe_from_R5b1_IR</v>
      </c>
      <c r="C804" t="s">
        <v>384</v>
      </c>
      <c r="D804" t="str">
        <f>VLOOKUP(Table1[[#This Row],[Called Node]],Nodes!A:B,2,0)</f>
        <v>sample_SUSHI_IR_response_R5b1_dataframe</v>
      </c>
      <c r="E804" s="3" t="str">
        <f>Table1[[#This Row],[Calling Node]]&amp;" -&gt; "&amp;Table1[[#This Row],[Called Node]]</f>
        <v>test_create_dataframe_from_R5b1_IR -&gt; sample_SUSHI_IR_response_R5b1_dataframe</v>
      </c>
      <c r="F804">
        <f>VLOOKUP(Table1[[#This Row],[Calling Node]],Nodes!A:D,4,0)</f>
        <v>35</v>
      </c>
      <c r="G804">
        <f>VLOOKUP(Table1[[#This Row],[Calling Node]],Nodes!A:E,5,0)</f>
        <v>24</v>
      </c>
      <c r="H804">
        <f>VLOOKUP(Table1[[#This Row],[Called Node]],Nodes!A:D,4,0)</f>
        <v>35</v>
      </c>
      <c r="I804">
        <f>VLOOKUP(Table1[[#This Row],[Called Node]],Nodes!A:E,5,0)</f>
        <v>16</v>
      </c>
    </row>
    <row r="805" spans="1:9" x14ac:dyDescent="0.3">
      <c r="A805" t="s">
        <v>394</v>
      </c>
      <c r="B805" t="str">
        <f>VLOOKUP(Table1[[#This Row],[Calling Node]],Nodes!A:B,2,0)</f>
        <v>FY2020_FiscalYears_object</v>
      </c>
      <c r="C805" t="s">
        <v>123</v>
      </c>
      <c r="D805" t="str">
        <f>VLOOKUP(Table1[[#This Row],[Called Node]],Nodes!A:B,2,0)</f>
        <v>query_database</v>
      </c>
      <c r="E805" s="3" t="str">
        <f>Table1[[#This Row],[Calling Node]]&amp;" -&gt; "&amp;Table1[[#This Row],[Called Node]]</f>
        <v>FY2020_FiscalYears_object -&gt; query_database</v>
      </c>
      <c r="F805">
        <f>VLOOKUP(Table1[[#This Row],[Calling Node]],Nodes!A:D,4,0)</f>
        <v>36</v>
      </c>
      <c r="G805">
        <f>VLOOKUP(Table1[[#This Row],[Calling Node]],Nodes!A:E,5,0)</f>
        <v>1</v>
      </c>
      <c r="H805">
        <f>VLOOKUP(Table1[[#This Row],[Called Node]],Nodes!A:D,4,0)</f>
        <v>22</v>
      </c>
      <c r="I805">
        <f>VLOOKUP(Table1[[#This Row],[Called Node]],Nodes!A:E,5,0)</f>
        <v>17</v>
      </c>
    </row>
    <row r="806" spans="1:9" x14ac:dyDescent="0.3">
      <c r="A806" t="s">
        <v>394</v>
      </c>
      <c r="B806" t="str">
        <f>VLOOKUP(Table1[[#This Row],[Calling Node]],Nodes!A:B,2,0)</f>
        <v>FY2020_FiscalYears_object</v>
      </c>
      <c r="C806" t="s">
        <v>138</v>
      </c>
      <c r="D806" t="str">
        <f>VLOOKUP(Table1[[#This Row],[Called Node]],Nodes!A:B,2,0)</f>
        <v>initialize_relation_class_object_statement</v>
      </c>
      <c r="E806" s="3" t="str">
        <f>Table1[[#This Row],[Calling Node]]&amp;" -&gt; "&amp;Table1[[#This Row],[Called Node]]</f>
        <v>FY2020_FiscalYears_object -&gt; initialize_relation_class_object_statement</v>
      </c>
      <c r="F806">
        <f>VLOOKUP(Table1[[#This Row],[Calling Node]],Nodes!A:D,4,0)</f>
        <v>36</v>
      </c>
      <c r="G806">
        <f>VLOOKUP(Table1[[#This Row],[Calling Node]],Nodes!A:E,5,0)</f>
        <v>1</v>
      </c>
      <c r="H806">
        <f>VLOOKUP(Table1[[#This Row],[Called Node]],Nodes!A:D,4,0)</f>
        <v>23</v>
      </c>
      <c r="I806">
        <f>VLOOKUP(Table1[[#This Row],[Called Node]],Nodes!A:E,5,0)</f>
        <v>4</v>
      </c>
    </row>
    <row r="807" spans="1:9" x14ac:dyDescent="0.3">
      <c r="A807" t="s">
        <v>394</v>
      </c>
      <c r="B807" t="str">
        <f>VLOOKUP(Table1[[#This Row],[Calling Node]],Nodes!A:B,2,0)</f>
        <v>FY2020_FiscalYears_object</v>
      </c>
      <c r="C807" t="s">
        <v>155</v>
      </c>
      <c r="D807" t="str">
        <f>VLOOKUP(Table1[[#This Row],[Called Node]],Nodes!A:B,2,0)</f>
        <v>database_function_skip_statements</v>
      </c>
      <c r="E807" s="3" t="str">
        <f>Table1[[#This Row],[Calling Node]]&amp;" -&gt; "&amp;Table1[[#This Row],[Called Node]]</f>
        <v>FY2020_FiscalYears_object -&gt; database_function_skip_statements</v>
      </c>
      <c r="F807">
        <f>VLOOKUP(Table1[[#This Row],[Calling Node]],Nodes!A:D,4,0)</f>
        <v>36</v>
      </c>
      <c r="G807">
        <f>VLOOKUP(Table1[[#This Row],[Calling Node]],Nodes!A:E,5,0)</f>
        <v>1</v>
      </c>
      <c r="H807">
        <f>VLOOKUP(Table1[[#This Row],[Called Node]],Nodes!A:D,4,0)</f>
        <v>23</v>
      </c>
      <c r="I807">
        <f>VLOOKUP(Table1[[#This Row],[Called Node]],Nodes!A:E,5,0)</f>
        <v>21</v>
      </c>
    </row>
    <row r="808" spans="1:9" x14ac:dyDescent="0.3">
      <c r="A808" t="s">
        <v>394</v>
      </c>
      <c r="B808" t="str">
        <f>VLOOKUP(Table1[[#This Row],[Calling Node]],Nodes!A:B,2,0)</f>
        <v>FY2020_FiscalYears_object</v>
      </c>
      <c r="C808" t="s">
        <v>215</v>
      </c>
      <c r="D808" t="str">
        <f>VLOOKUP(Table1[[#This Row],[Called Node]],Nodes!A:B,2,0)</f>
        <v>engine</v>
      </c>
      <c r="E808" s="3" t="str">
        <f>Table1[[#This Row],[Calling Node]]&amp;" -&gt; "&amp;Table1[[#This Row],[Called Node]]</f>
        <v>FY2020_FiscalYears_object -&gt; engine</v>
      </c>
      <c r="F808">
        <f>VLOOKUP(Table1[[#This Row],[Calling Node]],Nodes!A:D,4,0)</f>
        <v>36</v>
      </c>
      <c r="G808">
        <f>VLOOKUP(Table1[[#This Row],[Calling Node]],Nodes!A:E,5,0)</f>
        <v>1</v>
      </c>
      <c r="H808">
        <f>VLOOKUP(Table1[[#This Row],[Called Node]],Nodes!A:D,4,0)</f>
        <v>25</v>
      </c>
      <c r="I808">
        <f>VLOOKUP(Table1[[#This Row],[Called Node]],Nodes!A:E,5,0)</f>
        <v>1</v>
      </c>
    </row>
    <row r="809" spans="1:9" x14ac:dyDescent="0.3">
      <c r="A809" t="s">
        <v>395</v>
      </c>
      <c r="B809" t="str">
        <f>VLOOKUP(Table1[[#This Row],[Calling Node]],Nodes!A:B,2,0)</f>
        <v>test_calculate_depreciated_ACRL_60b</v>
      </c>
      <c r="C809" t="s">
        <v>9</v>
      </c>
      <c r="D809" t="str">
        <f>VLOOKUP(Table1[[#This Row],[Called Node]],Nodes!A:B,2,0)</f>
        <v>calculate_depreciated_ACRL_60b</v>
      </c>
      <c r="E809" s="3" t="str">
        <f>Table1[[#This Row],[Calling Node]]&amp;" -&gt; "&amp;Table1[[#This Row],[Called Node]]</f>
        <v>test_calculate_depreciated_ACRL_60b -&gt; calculate_depreciated_ACRL_60b</v>
      </c>
      <c r="F809">
        <f>VLOOKUP(Table1[[#This Row],[Calling Node]],Nodes!A:D,4,0)</f>
        <v>36</v>
      </c>
      <c r="G809">
        <f>VLOOKUP(Table1[[#This Row],[Calling Node]],Nodes!A:E,5,0)</f>
        <v>2</v>
      </c>
      <c r="H809">
        <f>VLOOKUP(Table1[[#This Row],[Called Node]],Nodes!A:D,4,0)</f>
        <v>2</v>
      </c>
      <c r="I809">
        <f>VLOOKUP(Table1[[#This Row],[Called Node]],Nodes!A:E,5,0)</f>
        <v>2</v>
      </c>
    </row>
    <row r="810" spans="1:9" x14ac:dyDescent="0.3">
      <c r="A810" t="s">
        <v>395</v>
      </c>
      <c r="B810" t="str">
        <f>VLOOKUP(Table1[[#This Row],[Calling Node]],Nodes!A:B,2,0)</f>
        <v>test_calculate_depreciated_ACRL_60b</v>
      </c>
      <c r="C810" t="s">
        <v>217</v>
      </c>
      <c r="D810" t="str">
        <f>VLOOKUP(Table1[[#This Row],[Called Node]],Nodes!A:B,2,0)</f>
        <v>client</v>
      </c>
      <c r="E810" s="3" t="str">
        <f>Table1[[#This Row],[Calling Node]]&amp;" -&gt; "&amp;Table1[[#This Row],[Called Node]]</f>
        <v>test_calculate_depreciated_ACRL_60b -&gt; client</v>
      </c>
      <c r="F810">
        <f>VLOOKUP(Table1[[#This Row],[Calling Node]],Nodes!A:D,4,0)</f>
        <v>36</v>
      </c>
      <c r="G810">
        <f>VLOOKUP(Table1[[#This Row],[Calling Node]],Nodes!A:E,5,0)</f>
        <v>2</v>
      </c>
      <c r="H810">
        <f>VLOOKUP(Table1[[#This Row],[Called Node]],Nodes!A:D,4,0)</f>
        <v>25</v>
      </c>
      <c r="I810">
        <f>VLOOKUP(Table1[[#This Row],[Called Node]],Nodes!A:E,5,0)</f>
        <v>3</v>
      </c>
    </row>
    <row r="811" spans="1:9" x14ac:dyDescent="0.3">
      <c r="A811" t="s">
        <v>395</v>
      </c>
      <c r="B811" t="str">
        <f>VLOOKUP(Table1[[#This Row],[Calling Node]],Nodes!A:B,2,0)</f>
        <v>test_calculate_depreciated_ACRL_60b</v>
      </c>
      <c r="C811" t="s">
        <v>394</v>
      </c>
      <c r="D811" t="str">
        <f>VLOOKUP(Table1[[#This Row],[Called Node]],Nodes!A:B,2,0)</f>
        <v>FY2020_FiscalYears_object</v>
      </c>
      <c r="E811" s="3" t="str">
        <f>Table1[[#This Row],[Calling Node]]&amp;" -&gt; "&amp;Table1[[#This Row],[Called Node]]</f>
        <v>test_calculate_depreciated_ACRL_60b -&gt; FY2020_FiscalYears_object</v>
      </c>
      <c r="F811">
        <f>VLOOKUP(Table1[[#This Row],[Calling Node]],Nodes!A:D,4,0)</f>
        <v>36</v>
      </c>
      <c r="G811">
        <f>VLOOKUP(Table1[[#This Row],[Calling Node]],Nodes!A:E,5,0)</f>
        <v>2</v>
      </c>
      <c r="H811">
        <f>VLOOKUP(Table1[[#This Row],[Called Node]],Nodes!A:D,4,0)</f>
        <v>36</v>
      </c>
      <c r="I811">
        <f>VLOOKUP(Table1[[#This Row],[Called Node]],Nodes!A:E,5,0)</f>
        <v>1</v>
      </c>
    </row>
    <row r="812" spans="1:9" x14ac:dyDescent="0.3">
      <c r="A812" t="s">
        <v>396</v>
      </c>
      <c r="B812" t="str">
        <f>VLOOKUP(Table1[[#This Row],[Calling Node]],Nodes!A:B,2,0)</f>
        <v>test_calculate_depreciated_ACRL_63</v>
      </c>
      <c r="C812" t="s">
        <v>10</v>
      </c>
      <c r="D812" t="str">
        <f>VLOOKUP(Table1[[#This Row],[Called Node]],Nodes!A:B,2,0)</f>
        <v>calculate_depreciated_ACRL_63</v>
      </c>
      <c r="E812" s="3" t="str">
        <f>Table1[[#This Row],[Calling Node]]&amp;" -&gt; "&amp;Table1[[#This Row],[Called Node]]</f>
        <v>test_calculate_depreciated_ACRL_63 -&gt; calculate_depreciated_ACRL_63</v>
      </c>
      <c r="F812">
        <f>VLOOKUP(Table1[[#This Row],[Calling Node]],Nodes!A:D,4,0)</f>
        <v>36</v>
      </c>
      <c r="G812">
        <f>VLOOKUP(Table1[[#This Row],[Calling Node]],Nodes!A:E,5,0)</f>
        <v>3</v>
      </c>
      <c r="H812">
        <f>VLOOKUP(Table1[[#This Row],[Called Node]],Nodes!A:D,4,0)</f>
        <v>2</v>
      </c>
      <c r="I812">
        <f>VLOOKUP(Table1[[#This Row],[Called Node]],Nodes!A:E,5,0)</f>
        <v>3</v>
      </c>
    </row>
    <row r="813" spans="1:9" x14ac:dyDescent="0.3">
      <c r="A813" t="s">
        <v>396</v>
      </c>
      <c r="B813" t="str">
        <f>VLOOKUP(Table1[[#This Row],[Calling Node]],Nodes!A:B,2,0)</f>
        <v>test_calculate_depreciated_ACRL_63</v>
      </c>
      <c r="C813" t="s">
        <v>217</v>
      </c>
      <c r="D813" t="str">
        <f>VLOOKUP(Table1[[#This Row],[Called Node]],Nodes!A:B,2,0)</f>
        <v>client</v>
      </c>
      <c r="E813" s="3" t="str">
        <f>Table1[[#This Row],[Calling Node]]&amp;" -&gt; "&amp;Table1[[#This Row],[Called Node]]</f>
        <v>test_calculate_depreciated_ACRL_63 -&gt; client</v>
      </c>
      <c r="F813">
        <f>VLOOKUP(Table1[[#This Row],[Calling Node]],Nodes!A:D,4,0)</f>
        <v>36</v>
      </c>
      <c r="G813">
        <f>VLOOKUP(Table1[[#This Row],[Calling Node]],Nodes!A:E,5,0)</f>
        <v>3</v>
      </c>
      <c r="H813">
        <f>VLOOKUP(Table1[[#This Row],[Called Node]],Nodes!A:D,4,0)</f>
        <v>25</v>
      </c>
      <c r="I813">
        <f>VLOOKUP(Table1[[#This Row],[Called Node]],Nodes!A:E,5,0)</f>
        <v>3</v>
      </c>
    </row>
    <row r="814" spans="1:9" x14ac:dyDescent="0.3">
      <c r="A814" t="s">
        <v>396</v>
      </c>
      <c r="B814" t="str">
        <f>VLOOKUP(Table1[[#This Row],[Calling Node]],Nodes!A:B,2,0)</f>
        <v>test_calculate_depreciated_ACRL_63</v>
      </c>
      <c r="C814" t="s">
        <v>394</v>
      </c>
      <c r="D814" t="str">
        <f>VLOOKUP(Table1[[#This Row],[Called Node]],Nodes!A:B,2,0)</f>
        <v>FY2020_FiscalYears_object</v>
      </c>
      <c r="E814" s="3" t="str">
        <f>Table1[[#This Row],[Calling Node]]&amp;" -&gt; "&amp;Table1[[#This Row],[Called Node]]</f>
        <v>test_calculate_depreciated_ACRL_63 -&gt; FY2020_FiscalYears_object</v>
      </c>
      <c r="F814">
        <f>VLOOKUP(Table1[[#This Row],[Calling Node]],Nodes!A:D,4,0)</f>
        <v>36</v>
      </c>
      <c r="G814">
        <f>VLOOKUP(Table1[[#This Row],[Calling Node]],Nodes!A:E,5,0)</f>
        <v>3</v>
      </c>
      <c r="H814">
        <f>VLOOKUP(Table1[[#This Row],[Called Node]],Nodes!A:D,4,0)</f>
        <v>36</v>
      </c>
      <c r="I814">
        <f>VLOOKUP(Table1[[#This Row],[Called Node]],Nodes!A:E,5,0)</f>
        <v>1</v>
      </c>
    </row>
    <row r="815" spans="1:9" x14ac:dyDescent="0.3">
      <c r="A815" t="s">
        <v>397</v>
      </c>
      <c r="B815" t="str">
        <f>VLOOKUP(Table1[[#This Row],[Calling Node]],Nodes!A:B,2,0)</f>
        <v>test_calculate_ACRL_61a</v>
      </c>
      <c r="C815" t="s">
        <v>11</v>
      </c>
      <c r="D815" t="str">
        <f>VLOOKUP(Table1[[#This Row],[Called Node]],Nodes!A:B,2,0)</f>
        <v>calculate_ACRL_61a</v>
      </c>
      <c r="E815" s="3" t="str">
        <f>Table1[[#This Row],[Calling Node]]&amp;" -&gt; "&amp;Table1[[#This Row],[Called Node]]</f>
        <v>test_calculate_ACRL_61a -&gt; calculate_ACRL_61a</v>
      </c>
      <c r="F815">
        <f>VLOOKUP(Table1[[#This Row],[Calling Node]],Nodes!A:D,4,0)</f>
        <v>36</v>
      </c>
      <c r="G815">
        <f>VLOOKUP(Table1[[#This Row],[Calling Node]],Nodes!A:E,5,0)</f>
        <v>4</v>
      </c>
      <c r="H815">
        <f>VLOOKUP(Table1[[#This Row],[Called Node]],Nodes!A:D,4,0)</f>
        <v>2</v>
      </c>
      <c r="I815">
        <f>VLOOKUP(Table1[[#This Row],[Called Node]],Nodes!A:E,5,0)</f>
        <v>4</v>
      </c>
    </row>
    <row r="816" spans="1:9" x14ac:dyDescent="0.3">
      <c r="A816" t="s">
        <v>397</v>
      </c>
      <c r="B816" t="str">
        <f>VLOOKUP(Table1[[#This Row],[Calling Node]],Nodes!A:B,2,0)</f>
        <v>test_calculate_ACRL_61a</v>
      </c>
      <c r="C816" t="s">
        <v>217</v>
      </c>
      <c r="D816" t="str">
        <f>VLOOKUP(Table1[[#This Row],[Called Node]],Nodes!A:B,2,0)</f>
        <v>client</v>
      </c>
      <c r="E816" s="3" t="str">
        <f>Table1[[#This Row],[Calling Node]]&amp;" -&gt; "&amp;Table1[[#This Row],[Called Node]]</f>
        <v>test_calculate_ACRL_61a -&gt; client</v>
      </c>
      <c r="F816">
        <f>VLOOKUP(Table1[[#This Row],[Calling Node]],Nodes!A:D,4,0)</f>
        <v>36</v>
      </c>
      <c r="G816">
        <f>VLOOKUP(Table1[[#This Row],[Calling Node]],Nodes!A:E,5,0)</f>
        <v>4</v>
      </c>
      <c r="H816">
        <f>VLOOKUP(Table1[[#This Row],[Called Node]],Nodes!A:D,4,0)</f>
        <v>25</v>
      </c>
      <c r="I816">
        <f>VLOOKUP(Table1[[#This Row],[Called Node]],Nodes!A:E,5,0)</f>
        <v>3</v>
      </c>
    </row>
    <row r="817" spans="1:9" x14ac:dyDescent="0.3">
      <c r="A817" t="s">
        <v>397</v>
      </c>
      <c r="B817" t="str">
        <f>VLOOKUP(Table1[[#This Row],[Calling Node]],Nodes!A:B,2,0)</f>
        <v>test_calculate_ACRL_61a</v>
      </c>
      <c r="C817" t="s">
        <v>394</v>
      </c>
      <c r="D817" t="str">
        <f>VLOOKUP(Table1[[#This Row],[Called Node]],Nodes!A:B,2,0)</f>
        <v>FY2020_FiscalYears_object</v>
      </c>
      <c r="E817" s="3" t="str">
        <f>Table1[[#This Row],[Calling Node]]&amp;" -&gt; "&amp;Table1[[#This Row],[Called Node]]</f>
        <v>test_calculate_ACRL_61a -&gt; FY2020_FiscalYears_object</v>
      </c>
      <c r="F817">
        <f>VLOOKUP(Table1[[#This Row],[Calling Node]],Nodes!A:D,4,0)</f>
        <v>36</v>
      </c>
      <c r="G817">
        <f>VLOOKUP(Table1[[#This Row],[Calling Node]],Nodes!A:E,5,0)</f>
        <v>4</v>
      </c>
      <c r="H817">
        <f>VLOOKUP(Table1[[#This Row],[Called Node]],Nodes!A:D,4,0)</f>
        <v>36</v>
      </c>
      <c r="I817">
        <f>VLOOKUP(Table1[[#This Row],[Called Node]],Nodes!A:E,5,0)</f>
        <v>1</v>
      </c>
    </row>
    <row r="818" spans="1:9" x14ac:dyDescent="0.3">
      <c r="A818" t="s">
        <v>398</v>
      </c>
      <c r="B818" t="str">
        <f>VLOOKUP(Table1[[#This Row],[Calling Node]],Nodes!A:B,2,0)</f>
        <v>test_calculate_ACRL_61b</v>
      </c>
      <c r="C818" t="s">
        <v>12</v>
      </c>
      <c r="D818" t="str">
        <f>VLOOKUP(Table1[[#This Row],[Called Node]],Nodes!A:B,2,0)</f>
        <v>calculate_ACRL_61b</v>
      </c>
      <c r="E818" s="3" t="str">
        <f>Table1[[#This Row],[Calling Node]]&amp;" -&gt; "&amp;Table1[[#This Row],[Called Node]]</f>
        <v>test_calculate_ACRL_61b -&gt; calculate_ACRL_61b</v>
      </c>
      <c r="F818">
        <f>VLOOKUP(Table1[[#This Row],[Calling Node]],Nodes!A:D,4,0)</f>
        <v>36</v>
      </c>
      <c r="G818">
        <f>VLOOKUP(Table1[[#This Row],[Calling Node]],Nodes!A:E,5,0)</f>
        <v>5</v>
      </c>
      <c r="H818">
        <f>VLOOKUP(Table1[[#This Row],[Called Node]],Nodes!A:D,4,0)</f>
        <v>2</v>
      </c>
      <c r="I818">
        <f>VLOOKUP(Table1[[#This Row],[Called Node]],Nodes!A:E,5,0)</f>
        <v>5</v>
      </c>
    </row>
    <row r="819" spans="1:9" x14ac:dyDescent="0.3">
      <c r="A819" t="s">
        <v>398</v>
      </c>
      <c r="B819" t="str">
        <f>VLOOKUP(Table1[[#This Row],[Calling Node]],Nodes!A:B,2,0)</f>
        <v>test_calculate_ACRL_61b</v>
      </c>
      <c r="C819" t="s">
        <v>217</v>
      </c>
      <c r="D819" t="str">
        <f>VLOOKUP(Table1[[#This Row],[Called Node]],Nodes!A:B,2,0)</f>
        <v>client</v>
      </c>
      <c r="E819" s="3" t="str">
        <f>Table1[[#This Row],[Calling Node]]&amp;" -&gt; "&amp;Table1[[#This Row],[Called Node]]</f>
        <v>test_calculate_ACRL_61b -&gt; client</v>
      </c>
      <c r="F819">
        <f>VLOOKUP(Table1[[#This Row],[Calling Node]],Nodes!A:D,4,0)</f>
        <v>36</v>
      </c>
      <c r="G819">
        <f>VLOOKUP(Table1[[#This Row],[Calling Node]],Nodes!A:E,5,0)</f>
        <v>5</v>
      </c>
      <c r="H819">
        <f>VLOOKUP(Table1[[#This Row],[Called Node]],Nodes!A:D,4,0)</f>
        <v>25</v>
      </c>
      <c r="I819">
        <f>VLOOKUP(Table1[[#This Row],[Called Node]],Nodes!A:E,5,0)</f>
        <v>3</v>
      </c>
    </row>
    <row r="820" spans="1:9" x14ac:dyDescent="0.3">
      <c r="A820" t="s">
        <v>398</v>
      </c>
      <c r="B820" t="str">
        <f>VLOOKUP(Table1[[#This Row],[Calling Node]],Nodes!A:B,2,0)</f>
        <v>test_calculate_ACRL_61b</v>
      </c>
      <c r="C820" t="s">
        <v>394</v>
      </c>
      <c r="D820" t="str">
        <f>VLOOKUP(Table1[[#This Row],[Called Node]],Nodes!A:B,2,0)</f>
        <v>FY2020_FiscalYears_object</v>
      </c>
      <c r="E820" s="3" t="str">
        <f>Table1[[#This Row],[Calling Node]]&amp;" -&gt; "&amp;Table1[[#This Row],[Called Node]]</f>
        <v>test_calculate_ACRL_61b -&gt; FY2020_FiscalYears_object</v>
      </c>
      <c r="F820">
        <f>VLOOKUP(Table1[[#This Row],[Calling Node]],Nodes!A:D,4,0)</f>
        <v>36</v>
      </c>
      <c r="G820">
        <f>VLOOKUP(Table1[[#This Row],[Calling Node]],Nodes!A:E,5,0)</f>
        <v>5</v>
      </c>
      <c r="H820">
        <f>VLOOKUP(Table1[[#This Row],[Called Node]],Nodes!A:D,4,0)</f>
        <v>36</v>
      </c>
      <c r="I820">
        <f>VLOOKUP(Table1[[#This Row],[Called Node]],Nodes!A:E,5,0)</f>
        <v>1</v>
      </c>
    </row>
    <row r="821" spans="1:9" x14ac:dyDescent="0.3">
      <c r="A821" t="s">
        <v>399</v>
      </c>
      <c r="B821" t="str">
        <f>VLOOKUP(Table1[[#This Row],[Calling Node]],Nodes!A:B,2,0)</f>
        <v>test_calculate_ARL_18</v>
      </c>
      <c r="C821" t="s">
        <v>13</v>
      </c>
      <c r="D821" t="str">
        <f>VLOOKUP(Table1[[#This Row],[Called Node]],Nodes!A:B,2,0)</f>
        <v>calculate_ARL_18</v>
      </c>
      <c r="E821" s="3" t="str">
        <f>Table1[[#This Row],[Calling Node]]&amp;" -&gt; "&amp;Table1[[#This Row],[Called Node]]</f>
        <v>test_calculate_ARL_18 -&gt; calculate_ARL_18</v>
      </c>
      <c r="F821">
        <f>VLOOKUP(Table1[[#This Row],[Calling Node]],Nodes!A:D,4,0)</f>
        <v>36</v>
      </c>
      <c r="G821">
        <f>VLOOKUP(Table1[[#This Row],[Calling Node]],Nodes!A:E,5,0)</f>
        <v>6</v>
      </c>
      <c r="H821">
        <f>VLOOKUP(Table1[[#This Row],[Called Node]],Nodes!A:D,4,0)</f>
        <v>2</v>
      </c>
      <c r="I821">
        <f>VLOOKUP(Table1[[#This Row],[Called Node]],Nodes!A:E,5,0)</f>
        <v>6</v>
      </c>
    </row>
    <row r="822" spans="1:9" x14ac:dyDescent="0.3">
      <c r="A822" t="s">
        <v>399</v>
      </c>
      <c r="B822" t="str">
        <f>VLOOKUP(Table1[[#This Row],[Calling Node]],Nodes!A:B,2,0)</f>
        <v>test_calculate_ARL_18</v>
      </c>
      <c r="C822" t="s">
        <v>217</v>
      </c>
      <c r="D822" t="str">
        <f>VLOOKUP(Table1[[#This Row],[Called Node]],Nodes!A:B,2,0)</f>
        <v>client</v>
      </c>
      <c r="E822" s="3" t="str">
        <f>Table1[[#This Row],[Calling Node]]&amp;" -&gt; "&amp;Table1[[#This Row],[Called Node]]</f>
        <v>test_calculate_ARL_18 -&gt; client</v>
      </c>
      <c r="F822">
        <f>VLOOKUP(Table1[[#This Row],[Calling Node]],Nodes!A:D,4,0)</f>
        <v>36</v>
      </c>
      <c r="G822">
        <f>VLOOKUP(Table1[[#This Row],[Calling Node]],Nodes!A:E,5,0)</f>
        <v>6</v>
      </c>
      <c r="H822">
        <f>VLOOKUP(Table1[[#This Row],[Called Node]],Nodes!A:D,4,0)</f>
        <v>25</v>
      </c>
      <c r="I822">
        <f>VLOOKUP(Table1[[#This Row],[Called Node]],Nodes!A:E,5,0)</f>
        <v>3</v>
      </c>
    </row>
    <row r="823" spans="1:9" x14ac:dyDescent="0.3">
      <c r="A823" t="s">
        <v>399</v>
      </c>
      <c r="B823" t="str">
        <f>VLOOKUP(Table1[[#This Row],[Calling Node]],Nodes!A:B,2,0)</f>
        <v>test_calculate_ARL_18</v>
      </c>
      <c r="C823" t="s">
        <v>394</v>
      </c>
      <c r="D823" t="str">
        <f>VLOOKUP(Table1[[#This Row],[Called Node]],Nodes!A:B,2,0)</f>
        <v>FY2020_FiscalYears_object</v>
      </c>
      <c r="E823" s="3" t="str">
        <f>Table1[[#This Row],[Calling Node]]&amp;" -&gt; "&amp;Table1[[#This Row],[Called Node]]</f>
        <v>test_calculate_ARL_18 -&gt; FY2020_FiscalYears_object</v>
      </c>
      <c r="F823">
        <f>VLOOKUP(Table1[[#This Row],[Calling Node]],Nodes!A:D,4,0)</f>
        <v>36</v>
      </c>
      <c r="G823">
        <f>VLOOKUP(Table1[[#This Row],[Calling Node]],Nodes!A:E,5,0)</f>
        <v>6</v>
      </c>
      <c r="H823">
        <f>VLOOKUP(Table1[[#This Row],[Called Node]],Nodes!A:D,4,0)</f>
        <v>36</v>
      </c>
      <c r="I823">
        <f>VLOOKUP(Table1[[#This Row],[Called Node]],Nodes!A:E,5,0)</f>
        <v>1</v>
      </c>
    </row>
    <row r="824" spans="1:9" x14ac:dyDescent="0.3">
      <c r="A824" t="s">
        <v>400</v>
      </c>
      <c r="B824" t="str">
        <f>VLOOKUP(Table1[[#This Row],[Calling Node]],Nodes!A:B,2,0)</f>
        <v>test_calculate_ARL_19</v>
      </c>
      <c r="C824" t="s">
        <v>14</v>
      </c>
      <c r="D824" t="str">
        <f>VLOOKUP(Table1[[#This Row],[Called Node]],Nodes!A:B,2,0)</f>
        <v>calculate_ARL_19</v>
      </c>
      <c r="E824" s="3" t="str">
        <f>Table1[[#This Row],[Calling Node]]&amp;" -&gt; "&amp;Table1[[#This Row],[Called Node]]</f>
        <v>test_calculate_ARL_19 -&gt; calculate_ARL_19</v>
      </c>
      <c r="F824">
        <f>VLOOKUP(Table1[[#This Row],[Calling Node]],Nodes!A:D,4,0)</f>
        <v>36</v>
      </c>
      <c r="G824">
        <f>VLOOKUP(Table1[[#This Row],[Calling Node]],Nodes!A:E,5,0)</f>
        <v>7</v>
      </c>
      <c r="H824">
        <f>VLOOKUP(Table1[[#This Row],[Called Node]],Nodes!A:D,4,0)</f>
        <v>2</v>
      </c>
      <c r="I824">
        <f>VLOOKUP(Table1[[#This Row],[Called Node]],Nodes!A:E,5,0)</f>
        <v>7</v>
      </c>
    </row>
    <row r="825" spans="1:9" x14ac:dyDescent="0.3">
      <c r="A825" t="s">
        <v>400</v>
      </c>
      <c r="B825" t="str">
        <f>VLOOKUP(Table1[[#This Row],[Calling Node]],Nodes!A:B,2,0)</f>
        <v>test_calculate_ARL_19</v>
      </c>
      <c r="C825" t="s">
        <v>217</v>
      </c>
      <c r="D825" t="str">
        <f>VLOOKUP(Table1[[#This Row],[Called Node]],Nodes!A:B,2,0)</f>
        <v>client</v>
      </c>
      <c r="E825" s="3" t="str">
        <f>Table1[[#This Row],[Calling Node]]&amp;" -&gt; "&amp;Table1[[#This Row],[Called Node]]</f>
        <v>test_calculate_ARL_19 -&gt; client</v>
      </c>
      <c r="F825">
        <f>VLOOKUP(Table1[[#This Row],[Calling Node]],Nodes!A:D,4,0)</f>
        <v>36</v>
      </c>
      <c r="G825">
        <f>VLOOKUP(Table1[[#This Row],[Calling Node]],Nodes!A:E,5,0)</f>
        <v>7</v>
      </c>
      <c r="H825">
        <f>VLOOKUP(Table1[[#This Row],[Called Node]],Nodes!A:D,4,0)</f>
        <v>25</v>
      </c>
      <c r="I825">
        <f>VLOOKUP(Table1[[#This Row],[Called Node]],Nodes!A:E,5,0)</f>
        <v>3</v>
      </c>
    </row>
    <row r="826" spans="1:9" x14ac:dyDescent="0.3">
      <c r="A826" t="s">
        <v>400</v>
      </c>
      <c r="B826" t="str">
        <f>VLOOKUP(Table1[[#This Row],[Calling Node]],Nodes!A:B,2,0)</f>
        <v>test_calculate_ARL_19</v>
      </c>
      <c r="C826" t="s">
        <v>394</v>
      </c>
      <c r="D826" t="str">
        <f>VLOOKUP(Table1[[#This Row],[Called Node]],Nodes!A:B,2,0)</f>
        <v>FY2020_FiscalYears_object</v>
      </c>
      <c r="E826" s="3" t="str">
        <f>Table1[[#This Row],[Calling Node]]&amp;" -&gt; "&amp;Table1[[#This Row],[Called Node]]</f>
        <v>test_calculate_ARL_19 -&gt; FY2020_FiscalYears_object</v>
      </c>
      <c r="F826">
        <f>VLOOKUP(Table1[[#This Row],[Calling Node]],Nodes!A:D,4,0)</f>
        <v>36</v>
      </c>
      <c r="G826">
        <f>VLOOKUP(Table1[[#This Row],[Calling Node]],Nodes!A:E,5,0)</f>
        <v>7</v>
      </c>
      <c r="H826">
        <f>VLOOKUP(Table1[[#This Row],[Called Node]],Nodes!A:D,4,0)</f>
        <v>36</v>
      </c>
      <c r="I826">
        <f>VLOOKUP(Table1[[#This Row],[Called Node]],Nodes!A:E,5,0)</f>
        <v>1</v>
      </c>
    </row>
    <row r="827" spans="1:9" x14ac:dyDescent="0.3">
      <c r="A827" t="s">
        <v>401</v>
      </c>
      <c r="B827" t="str">
        <f>VLOOKUP(Table1[[#This Row],[Calling Node]],Nodes!A:B,2,0)</f>
        <v>test_calculate_ARL_20</v>
      </c>
      <c r="C827" t="s">
        <v>15</v>
      </c>
      <c r="D827" t="str">
        <f>VLOOKUP(Table1[[#This Row],[Called Node]],Nodes!A:B,2,0)</f>
        <v>calculate_ARL_20</v>
      </c>
      <c r="E827" s="3" t="str">
        <f>Table1[[#This Row],[Calling Node]]&amp;" -&gt; "&amp;Table1[[#This Row],[Called Node]]</f>
        <v>test_calculate_ARL_20 -&gt; calculate_ARL_20</v>
      </c>
      <c r="F827">
        <f>VLOOKUP(Table1[[#This Row],[Calling Node]],Nodes!A:D,4,0)</f>
        <v>36</v>
      </c>
      <c r="G827">
        <f>VLOOKUP(Table1[[#This Row],[Calling Node]],Nodes!A:E,5,0)</f>
        <v>8</v>
      </c>
      <c r="H827">
        <f>VLOOKUP(Table1[[#This Row],[Called Node]],Nodes!A:D,4,0)</f>
        <v>2</v>
      </c>
      <c r="I827">
        <f>VLOOKUP(Table1[[#This Row],[Called Node]],Nodes!A:E,5,0)</f>
        <v>8</v>
      </c>
    </row>
    <row r="828" spans="1:9" x14ac:dyDescent="0.3">
      <c r="A828" t="s">
        <v>401</v>
      </c>
      <c r="B828" t="str">
        <f>VLOOKUP(Table1[[#This Row],[Calling Node]],Nodes!A:B,2,0)</f>
        <v>test_calculate_ARL_20</v>
      </c>
      <c r="C828" t="s">
        <v>217</v>
      </c>
      <c r="D828" t="str">
        <f>VLOOKUP(Table1[[#This Row],[Called Node]],Nodes!A:B,2,0)</f>
        <v>client</v>
      </c>
      <c r="E828" s="3" t="str">
        <f>Table1[[#This Row],[Calling Node]]&amp;" -&gt; "&amp;Table1[[#This Row],[Called Node]]</f>
        <v>test_calculate_ARL_20 -&gt; client</v>
      </c>
      <c r="F828">
        <f>VLOOKUP(Table1[[#This Row],[Calling Node]],Nodes!A:D,4,0)</f>
        <v>36</v>
      </c>
      <c r="G828">
        <f>VLOOKUP(Table1[[#This Row],[Calling Node]],Nodes!A:E,5,0)</f>
        <v>8</v>
      </c>
      <c r="H828">
        <f>VLOOKUP(Table1[[#This Row],[Called Node]],Nodes!A:D,4,0)</f>
        <v>25</v>
      </c>
      <c r="I828">
        <f>VLOOKUP(Table1[[#This Row],[Called Node]],Nodes!A:E,5,0)</f>
        <v>3</v>
      </c>
    </row>
    <row r="829" spans="1:9" x14ac:dyDescent="0.3">
      <c r="A829" t="s">
        <v>401</v>
      </c>
      <c r="B829" t="str">
        <f>VLOOKUP(Table1[[#This Row],[Calling Node]],Nodes!A:B,2,0)</f>
        <v>test_calculate_ARL_20</v>
      </c>
      <c r="C829" t="s">
        <v>394</v>
      </c>
      <c r="D829" t="str">
        <f>VLOOKUP(Table1[[#This Row],[Called Node]],Nodes!A:B,2,0)</f>
        <v>FY2020_FiscalYears_object</v>
      </c>
      <c r="E829" s="3" t="str">
        <f>Table1[[#This Row],[Calling Node]]&amp;" -&gt; "&amp;Table1[[#This Row],[Called Node]]</f>
        <v>test_calculate_ARL_20 -&gt; FY2020_FiscalYears_object</v>
      </c>
      <c r="F829">
        <f>VLOOKUP(Table1[[#This Row],[Calling Node]],Nodes!A:D,4,0)</f>
        <v>36</v>
      </c>
      <c r="G829">
        <f>VLOOKUP(Table1[[#This Row],[Calling Node]],Nodes!A:E,5,0)</f>
        <v>8</v>
      </c>
      <c r="H829">
        <f>VLOOKUP(Table1[[#This Row],[Called Node]],Nodes!A:D,4,0)</f>
        <v>36</v>
      </c>
      <c r="I829">
        <f>VLOOKUP(Table1[[#This Row],[Called Node]],Nodes!A:E,5,0)</f>
        <v>1</v>
      </c>
    </row>
    <row r="830" spans="1:9" x14ac:dyDescent="0.3">
      <c r="A830" t="s">
        <v>403</v>
      </c>
      <c r="B830" t="str">
        <f>VLOOKUP(Table1[[#This Row],[Calling Node]],Nodes!A:B,2,0)</f>
        <v>load_new_record_into_fiscalYears</v>
      </c>
      <c r="C830" t="s">
        <v>122</v>
      </c>
      <c r="D830" t="str">
        <f>VLOOKUP(Table1[[#This Row],[Called Node]],Nodes!A:B,2,0)</f>
        <v>load_data_into_database</v>
      </c>
      <c r="E830" s="3" t="str">
        <f>Table1[[#This Row],[Calling Node]]&amp;" -&gt; "&amp;Table1[[#This Row],[Called Node]]</f>
        <v>load_new_record_into_fiscalYears -&gt; load_data_into_database</v>
      </c>
      <c r="F830">
        <f>VLOOKUP(Table1[[#This Row],[Calling Node]],Nodes!A:D,4,0)</f>
        <v>36</v>
      </c>
      <c r="G830">
        <f>VLOOKUP(Table1[[#This Row],[Calling Node]],Nodes!A:E,5,0)</f>
        <v>10</v>
      </c>
      <c r="H830">
        <f>VLOOKUP(Table1[[#This Row],[Called Node]],Nodes!A:D,4,0)</f>
        <v>22</v>
      </c>
      <c r="I830">
        <f>VLOOKUP(Table1[[#This Row],[Called Node]],Nodes!A:E,5,0)</f>
        <v>16</v>
      </c>
    </row>
    <row r="831" spans="1:9" x14ac:dyDescent="0.3">
      <c r="A831" t="s">
        <v>403</v>
      </c>
      <c r="B831" t="str">
        <f>VLOOKUP(Table1[[#This Row],[Calling Node]],Nodes!A:B,2,0)</f>
        <v>load_new_record_into_fiscalYears</v>
      </c>
      <c r="C831" t="s">
        <v>155</v>
      </c>
      <c r="D831" t="str">
        <f>VLOOKUP(Table1[[#This Row],[Called Node]],Nodes!A:B,2,0)</f>
        <v>database_function_skip_statements</v>
      </c>
      <c r="E831" s="3" t="str">
        <f>Table1[[#This Row],[Calling Node]]&amp;" -&gt; "&amp;Table1[[#This Row],[Called Node]]</f>
        <v>load_new_record_into_fiscalYears -&gt; database_function_skip_statements</v>
      </c>
      <c r="F831">
        <f>VLOOKUP(Table1[[#This Row],[Calling Node]],Nodes!A:D,4,0)</f>
        <v>36</v>
      </c>
      <c r="G831">
        <f>VLOOKUP(Table1[[#This Row],[Calling Node]],Nodes!A:E,5,0)</f>
        <v>10</v>
      </c>
      <c r="H831">
        <f>VLOOKUP(Table1[[#This Row],[Called Node]],Nodes!A:D,4,0)</f>
        <v>23</v>
      </c>
      <c r="I831">
        <f>VLOOKUP(Table1[[#This Row],[Called Node]],Nodes!A:E,5,0)</f>
        <v>21</v>
      </c>
    </row>
    <row r="832" spans="1:9" x14ac:dyDescent="0.3">
      <c r="A832" t="s">
        <v>403</v>
      </c>
      <c r="B832" t="str">
        <f>VLOOKUP(Table1[[#This Row],[Calling Node]],Nodes!A:B,2,0)</f>
        <v>load_new_record_into_fiscalYears</v>
      </c>
      <c r="C832" t="s">
        <v>156</v>
      </c>
      <c r="D832" t="str">
        <f>VLOOKUP(Table1[[#This Row],[Called Node]],Nodes!A:B,2,0)</f>
        <v>load_data_into_database_success_regex</v>
      </c>
      <c r="E832" s="3" t="str">
        <f>Table1[[#This Row],[Calling Node]]&amp;" -&gt; "&amp;Table1[[#This Row],[Called Node]]</f>
        <v>load_new_record_into_fiscalYears -&gt; load_data_into_database_success_regex</v>
      </c>
      <c r="F832">
        <f>VLOOKUP(Table1[[#This Row],[Calling Node]],Nodes!A:D,4,0)</f>
        <v>36</v>
      </c>
      <c r="G832">
        <f>VLOOKUP(Table1[[#This Row],[Calling Node]],Nodes!A:E,5,0)</f>
        <v>10</v>
      </c>
      <c r="H832">
        <f>VLOOKUP(Table1[[#This Row],[Called Node]],Nodes!A:D,4,0)</f>
        <v>23</v>
      </c>
      <c r="I832">
        <f>VLOOKUP(Table1[[#This Row],[Called Node]],Nodes!A:E,5,0)</f>
        <v>22</v>
      </c>
    </row>
    <row r="833" spans="1:9" x14ac:dyDescent="0.3">
      <c r="A833" t="s">
        <v>403</v>
      </c>
      <c r="B833" t="str">
        <f>VLOOKUP(Table1[[#This Row],[Calling Node]],Nodes!A:B,2,0)</f>
        <v>load_new_record_into_fiscalYears</v>
      </c>
      <c r="C833" t="s">
        <v>215</v>
      </c>
      <c r="D833" t="str">
        <f>VLOOKUP(Table1[[#This Row],[Called Node]],Nodes!A:B,2,0)</f>
        <v>engine</v>
      </c>
      <c r="E833" s="3" t="str">
        <f>Table1[[#This Row],[Calling Node]]&amp;" -&gt; "&amp;Table1[[#This Row],[Called Node]]</f>
        <v>load_new_record_into_fiscalYears -&gt; engine</v>
      </c>
      <c r="F833">
        <f>VLOOKUP(Table1[[#This Row],[Calling Node]],Nodes!A:D,4,0)</f>
        <v>36</v>
      </c>
      <c r="G833">
        <f>VLOOKUP(Table1[[#This Row],[Calling Node]],Nodes!A:E,5,0)</f>
        <v>10</v>
      </c>
      <c r="H833">
        <f>VLOOKUP(Table1[[#This Row],[Called Node]],Nodes!A:D,4,0)</f>
        <v>25</v>
      </c>
      <c r="I833">
        <f>VLOOKUP(Table1[[#This Row],[Called Node]],Nodes!A:E,5,0)</f>
        <v>1</v>
      </c>
    </row>
    <row r="834" spans="1:9" x14ac:dyDescent="0.3">
      <c r="A834" t="s">
        <v>403</v>
      </c>
      <c r="B834" t="str">
        <f>VLOOKUP(Table1[[#This Row],[Calling Node]],Nodes!A:B,2,0)</f>
        <v>load_new_record_into_fiscalYears</v>
      </c>
      <c r="C834" t="s">
        <v>402</v>
      </c>
      <c r="D834" t="str">
        <f>VLOOKUP(Table1[[#This Row],[Called Node]],Nodes!A:B,2,0)</f>
        <v>FY2023_FiscalYears_object_and_record</v>
      </c>
      <c r="E834" s="3" t="str">
        <f>Table1[[#This Row],[Calling Node]]&amp;" -&gt; "&amp;Table1[[#This Row],[Called Node]]</f>
        <v>load_new_record_into_fiscalYears -&gt; FY2023_FiscalYears_object_and_record</v>
      </c>
      <c r="F834">
        <f>VLOOKUP(Table1[[#This Row],[Calling Node]],Nodes!A:D,4,0)</f>
        <v>36</v>
      </c>
      <c r="G834">
        <f>VLOOKUP(Table1[[#This Row],[Calling Node]],Nodes!A:E,5,0)</f>
        <v>10</v>
      </c>
      <c r="H834">
        <f>VLOOKUP(Table1[[#This Row],[Called Node]],Nodes!A:D,4,0)</f>
        <v>36</v>
      </c>
      <c r="I834">
        <f>VLOOKUP(Table1[[#This Row],[Called Node]],Nodes!A:E,5,0)</f>
        <v>9</v>
      </c>
    </row>
    <row r="835" spans="1:9" x14ac:dyDescent="0.3">
      <c r="A835" t="s">
        <v>404</v>
      </c>
      <c r="B835" t="str">
        <f>VLOOKUP(Table1[[#This Row],[Calling Node]],Nodes!A:B,2,0)</f>
        <v>test_create_usage_tracking_records_for_fiscal_year</v>
      </c>
      <c r="C835" t="s">
        <v>16</v>
      </c>
      <c r="D835" t="str">
        <f>VLOOKUP(Table1[[#This Row],[Called Node]],Nodes!A:B,2,0)</f>
        <v>create_usage_tracking_records_for_fiscal_year</v>
      </c>
      <c r="E835" s="3" t="str">
        <f>Table1[[#This Row],[Calling Node]]&amp;" -&gt; "&amp;Table1[[#This Row],[Called Node]]</f>
        <v>test_create_usage_tracking_records_for_fiscal_year -&gt; create_usage_tracking_records_for_fiscal_year</v>
      </c>
      <c r="F835">
        <f>VLOOKUP(Table1[[#This Row],[Calling Node]],Nodes!A:D,4,0)</f>
        <v>36</v>
      </c>
      <c r="G835">
        <f>VLOOKUP(Table1[[#This Row],[Calling Node]],Nodes!A:E,5,0)</f>
        <v>11</v>
      </c>
      <c r="H835">
        <f>VLOOKUP(Table1[[#This Row],[Called Node]],Nodes!A:D,4,0)</f>
        <v>2</v>
      </c>
      <c r="I835">
        <f>VLOOKUP(Table1[[#This Row],[Called Node]],Nodes!A:E,5,0)</f>
        <v>9</v>
      </c>
    </row>
    <row r="836" spans="1:9" x14ac:dyDescent="0.3">
      <c r="A836" t="s">
        <v>404</v>
      </c>
      <c r="B836" t="str">
        <f>VLOOKUP(Table1[[#This Row],[Calling Node]],Nodes!A:B,2,0)</f>
        <v>test_create_usage_tracking_records_for_fiscal_year</v>
      </c>
      <c r="C836" t="s">
        <v>50</v>
      </c>
      <c r="D836" s="2" t="str">
        <f>VLOOKUP(Table1[[#This Row],[Called Node]],Nodes!A:B,2,0)</f>
        <v>state_data_types</v>
      </c>
      <c r="E836" s="3" t="str">
        <f>Table1[[#This Row],[Calling Node]]&amp;" -&gt; "&amp;Table1[[#This Row],[Called Node]]</f>
        <v>test_create_usage_tracking_records_for_fiscal_year -&gt; state_data_types_in_annualUsageCollectionTracking</v>
      </c>
      <c r="F836">
        <f>VLOOKUP(Table1[[#This Row],[Calling Node]],Nodes!A:D,4,0)</f>
        <v>36</v>
      </c>
      <c r="G836">
        <f>VLOOKUP(Table1[[#This Row],[Calling Node]],Nodes!A:E,5,0)</f>
        <v>11</v>
      </c>
      <c r="H836">
        <f>VLOOKUP(Table1[[#This Row],[Called Node]],Nodes!A:D,4,0)</f>
        <v>11</v>
      </c>
      <c r="I836">
        <f>VLOOKUP(Table1[[#This Row],[Called Node]],Nodes!A:E,5,0)</f>
        <v>1</v>
      </c>
    </row>
    <row r="837" spans="1:9" x14ac:dyDescent="0.3">
      <c r="A837" t="s">
        <v>404</v>
      </c>
      <c r="B837" t="str">
        <f>VLOOKUP(Table1[[#This Row],[Calling Node]],Nodes!A:B,2,0)</f>
        <v>test_create_usage_tracking_records_for_fiscal_year</v>
      </c>
      <c r="C837" t="s">
        <v>119</v>
      </c>
      <c r="D837" t="str">
        <f>VLOOKUP(Table1[[#This Row],[Called Node]],Nodes!A:B,2,0)</f>
        <v>restore_boolean_values_to_boolean_field</v>
      </c>
      <c r="E837" s="3" t="str">
        <f>Table1[[#This Row],[Calling Node]]&amp;" -&gt; "&amp;Table1[[#This Row],[Called Node]]</f>
        <v>test_create_usage_tracking_records_for_fiscal_year -&gt; restore_boolean_values_to_boolean_field</v>
      </c>
      <c r="F837">
        <f>VLOOKUP(Table1[[#This Row],[Calling Node]],Nodes!A:D,4,0)</f>
        <v>36</v>
      </c>
      <c r="G837">
        <f>VLOOKUP(Table1[[#This Row],[Calling Node]],Nodes!A:E,5,0)</f>
        <v>11</v>
      </c>
      <c r="H837">
        <f>VLOOKUP(Table1[[#This Row],[Called Node]],Nodes!A:D,4,0)</f>
        <v>22</v>
      </c>
      <c r="I837">
        <f>VLOOKUP(Table1[[#This Row],[Called Node]],Nodes!A:E,5,0)</f>
        <v>13</v>
      </c>
    </row>
    <row r="838" spans="1:9" x14ac:dyDescent="0.3">
      <c r="A838" t="s">
        <v>404</v>
      </c>
      <c r="B838" t="str">
        <f>VLOOKUP(Table1[[#This Row],[Calling Node]],Nodes!A:B,2,0)</f>
        <v>test_create_usage_tracking_records_for_fiscal_year</v>
      </c>
      <c r="C838" t="s">
        <v>123</v>
      </c>
      <c r="D838" t="str">
        <f>VLOOKUP(Table1[[#This Row],[Called Node]],Nodes!A:B,2,0)</f>
        <v>query_database</v>
      </c>
      <c r="E838" s="3" t="str">
        <f>Table1[[#This Row],[Calling Node]]&amp;" -&gt; "&amp;Table1[[#This Row],[Called Node]]</f>
        <v>test_create_usage_tracking_records_for_fiscal_year -&gt; query_database</v>
      </c>
      <c r="F838">
        <f>VLOOKUP(Table1[[#This Row],[Calling Node]],Nodes!A:D,4,0)</f>
        <v>36</v>
      </c>
      <c r="G838">
        <f>VLOOKUP(Table1[[#This Row],[Calling Node]],Nodes!A:E,5,0)</f>
        <v>11</v>
      </c>
      <c r="H838">
        <f>VLOOKUP(Table1[[#This Row],[Called Node]],Nodes!A:D,4,0)</f>
        <v>22</v>
      </c>
      <c r="I838">
        <f>VLOOKUP(Table1[[#This Row],[Called Node]],Nodes!A:E,5,0)</f>
        <v>17</v>
      </c>
    </row>
    <row r="839" spans="1:9" x14ac:dyDescent="0.3">
      <c r="A839" t="s">
        <v>404</v>
      </c>
      <c r="B839" t="str">
        <f>VLOOKUP(Table1[[#This Row],[Calling Node]],Nodes!A:B,2,0)</f>
        <v>test_create_usage_tracking_records_for_fiscal_year</v>
      </c>
      <c r="C839" t="s">
        <v>155</v>
      </c>
      <c r="D839" t="str">
        <f>VLOOKUP(Table1[[#This Row],[Called Node]],Nodes!A:B,2,0)</f>
        <v>database_function_skip_statements</v>
      </c>
      <c r="E839" s="3" t="str">
        <f>Table1[[#This Row],[Calling Node]]&amp;" -&gt; "&amp;Table1[[#This Row],[Called Node]]</f>
        <v>test_create_usage_tracking_records_for_fiscal_year -&gt; database_function_skip_statements</v>
      </c>
      <c r="F839">
        <f>VLOOKUP(Table1[[#This Row],[Calling Node]],Nodes!A:D,4,0)</f>
        <v>36</v>
      </c>
      <c r="G839">
        <f>VLOOKUP(Table1[[#This Row],[Calling Node]],Nodes!A:E,5,0)</f>
        <v>11</v>
      </c>
      <c r="H839">
        <f>VLOOKUP(Table1[[#This Row],[Called Node]],Nodes!A:D,4,0)</f>
        <v>23</v>
      </c>
      <c r="I839">
        <f>VLOOKUP(Table1[[#This Row],[Called Node]],Nodes!A:E,5,0)</f>
        <v>21</v>
      </c>
    </row>
    <row r="840" spans="1:9" x14ac:dyDescent="0.3">
      <c r="A840" t="s">
        <v>404</v>
      </c>
      <c r="B840" t="str">
        <f>VLOOKUP(Table1[[#This Row],[Calling Node]],Nodes!A:B,2,0)</f>
        <v>test_create_usage_tracking_records_for_fiscal_year</v>
      </c>
      <c r="C840" t="s">
        <v>156</v>
      </c>
      <c r="D840" t="str">
        <f>VLOOKUP(Table1[[#This Row],[Called Node]],Nodes!A:B,2,0)</f>
        <v>load_data_into_database_success_regex</v>
      </c>
      <c r="E840" s="3" t="str">
        <f>Table1[[#This Row],[Calling Node]]&amp;" -&gt; "&amp;Table1[[#This Row],[Called Node]]</f>
        <v>test_create_usage_tracking_records_for_fiscal_year -&gt; load_data_into_database_success_regex</v>
      </c>
      <c r="F840">
        <f>VLOOKUP(Table1[[#This Row],[Calling Node]],Nodes!A:D,4,0)</f>
        <v>36</v>
      </c>
      <c r="G840">
        <f>VLOOKUP(Table1[[#This Row],[Calling Node]],Nodes!A:E,5,0)</f>
        <v>11</v>
      </c>
      <c r="H840">
        <f>VLOOKUP(Table1[[#This Row],[Called Node]],Nodes!A:D,4,0)</f>
        <v>23</v>
      </c>
      <c r="I840">
        <f>VLOOKUP(Table1[[#This Row],[Called Node]],Nodes!A:E,5,0)</f>
        <v>22</v>
      </c>
    </row>
    <row r="841" spans="1:9" x14ac:dyDescent="0.3">
      <c r="A841" t="s">
        <v>404</v>
      </c>
      <c r="B841" t="str">
        <f>VLOOKUP(Table1[[#This Row],[Calling Node]],Nodes!A:B,2,0)</f>
        <v>test_create_usage_tracking_records_for_fiscal_year</v>
      </c>
      <c r="C841" t="s">
        <v>156</v>
      </c>
      <c r="D841" t="str">
        <f>VLOOKUP(Table1[[#This Row],[Called Node]],Nodes!A:B,2,0)</f>
        <v>load_data_into_database_success_regex</v>
      </c>
      <c r="E841" s="3" t="str">
        <f>Table1[[#This Row],[Calling Node]]&amp;" -&gt; "&amp;Table1[[#This Row],[Called Node]]</f>
        <v>test_create_usage_tracking_records_for_fiscal_year -&gt; load_data_into_database_success_regex</v>
      </c>
      <c r="F841">
        <f>VLOOKUP(Table1[[#This Row],[Calling Node]],Nodes!A:D,4,0)</f>
        <v>36</v>
      </c>
      <c r="G841">
        <f>VLOOKUP(Table1[[#This Row],[Calling Node]],Nodes!A:E,5,0)</f>
        <v>11</v>
      </c>
      <c r="H841">
        <f>VLOOKUP(Table1[[#This Row],[Called Node]],Nodes!A:D,4,0)</f>
        <v>23</v>
      </c>
      <c r="I841">
        <f>VLOOKUP(Table1[[#This Row],[Called Node]],Nodes!A:E,5,0)</f>
        <v>22</v>
      </c>
    </row>
    <row r="842" spans="1:9" x14ac:dyDescent="0.3">
      <c r="A842" t="s">
        <v>404</v>
      </c>
      <c r="B842" t="str">
        <f>VLOOKUP(Table1[[#This Row],[Calling Node]],Nodes!A:B,2,0)</f>
        <v>test_create_usage_tracking_records_for_fiscal_year</v>
      </c>
      <c r="C842" t="s">
        <v>215</v>
      </c>
      <c r="D842" t="str">
        <f>VLOOKUP(Table1[[#This Row],[Called Node]],Nodes!A:B,2,0)</f>
        <v>engine</v>
      </c>
      <c r="E842" s="3" t="str">
        <f>Table1[[#This Row],[Calling Node]]&amp;" -&gt; "&amp;Table1[[#This Row],[Called Node]]</f>
        <v>test_create_usage_tracking_records_for_fiscal_year -&gt; engine</v>
      </c>
      <c r="F842">
        <f>VLOOKUP(Table1[[#This Row],[Calling Node]],Nodes!A:D,4,0)</f>
        <v>36</v>
      </c>
      <c r="G842">
        <f>VLOOKUP(Table1[[#This Row],[Calling Node]],Nodes!A:E,5,0)</f>
        <v>11</v>
      </c>
      <c r="H842">
        <f>VLOOKUP(Table1[[#This Row],[Called Node]],Nodes!A:D,4,0)</f>
        <v>25</v>
      </c>
      <c r="I842">
        <f>VLOOKUP(Table1[[#This Row],[Called Node]],Nodes!A:E,5,0)</f>
        <v>1</v>
      </c>
    </row>
    <row r="843" spans="1:9" x14ac:dyDescent="0.3">
      <c r="A843" t="s">
        <v>404</v>
      </c>
      <c r="B843" t="str">
        <f>VLOOKUP(Table1[[#This Row],[Calling Node]],Nodes!A:B,2,0)</f>
        <v>test_create_usage_tracking_records_for_fiscal_year</v>
      </c>
      <c r="C843" t="s">
        <v>217</v>
      </c>
      <c r="D843" t="str">
        <f>VLOOKUP(Table1[[#This Row],[Called Node]],Nodes!A:B,2,0)</f>
        <v>client</v>
      </c>
      <c r="E843" s="3" t="str">
        <f>Table1[[#This Row],[Calling Node]]&amp;" -&gt; "&amp;Table1[[#This Row],[Called Node]]</f>
        <v>test_create_usage_tracking_records_for_fiscal_year -&gt; client</v>
      </c>
      <c r="F843">
        <f>VLOOKUP(Table1[[#This Row],[Calling Node]],Nodes!A:D,4,0)</f>
        <v>36</v>
      </c>
      <c r="G843">
        <f>VLOOKUP(Table1[[#This Row],[Calling Node]],Nodes!A:E,5,0)</f>
        <v>11</v>
      </c>
      <c r="H843">
        <f>VLOOKUP(Table1[[#This Row],[Called Node]],Nodes!A:D,4,0)</f>
        <v>25</v>
      </c>
      <c r="I843">
        <f>VLOOKUP(Table1[[#This Row],[Called Node]],Nodes!A:E,5,0)</f>
        <v>3</v>
      </c>
    </row>
    <row r="844" spans="1:9" x14ac:dyDescent="0.3">
      <c r="A844" t="s">
        <v>404</v>
      </c>
      <c r="B844" t="str">
        <f>VLOOKUP(Table1[[#This Row],[Calling Node]],Nodes!A:B,2,0)</f>
        <v>test_create_usage_tracking_records_for_fiscal_year</v>
      </c>
      <c r="C844" t="s">
        <v>402</v>
      </c>
      <c r="D844" t="str">
        <f>VLOOKUP(Table1[[#This Row],[Called Node]],Nodes!A:B,2,0)</f>
        <v>FY2023_FiscalYears_object_and_record</v>
      </c>
      <c r="E844" s="3" t="str">
        <f>Table1[[#This Row],[Calling Node]]&amp;" -&gt; "&amp;Table1[[#This Row],[Called Node]]</f>
        <v>test_create_usage_tracking_records_for_fiscal_year -&gt; FY2023_FiscalYears_object_and_record</v>
      </c>
      <c r="F844">
        <f>VLOOKUP(Table1[[#This Row],[Calling Node]],Nodes!A:D,4,0)</f>
        <v>36</v>
      </c>
      <c r="G844">
        <f>VLOOKUP(Table1[[#This Row],[Calling Node]],Nodes!A:E,5,0)</f>
        <v>11</v>
      </c>
      <c r="H844">
        <f>VLOOKUP(Table1[[#This Row],[Called Node]],Nodes!A:D,4,0)</f>
        <v>36</v>
      </c>
      <c r="I844">
        <f>VLOOKUP(Table1[[#This Row],[Called Node]],Nodes!A:E,5,0)</f>
        <v>9</v>
      </c>
    </row>
    <row r="845" spans="1:9" x14ac:dyDescent="0.3">
      <c r="A845" t="s">
        <v>405</v>
      </c>
      <c r="B845" t="str">
        <f>VLOOKUP(Table1[[#This Row],[Calling Node]],Nodes!A:B,2,0)</f>
        <v>FY2022_FiscalYears_object</v>
      </c>
      <c r="C845" t="s">
        <v>123</v>
      </c>
      <c r="D845" t="str">
        <f>VLOOKUP(Table1[[#This Row],[Called Node]],Nodes!A:B,2,0)</f>
        <v>query_database</v>
      </c>
      <c r="E845" s="3" t="str">
        <f>Table1[[#This Row],[Calling Node]]&amp;" -&gt; "&amp;Table1[[#This Row],[Called Node]]</f>
        <v>FY2022_FiscalYears_object -&gt; query_database</v>
      </c>
      <c r="F845">
        <f>VLOOKUP(Table1[[#This Row],[Calling Node]],Nodes!A:D,4,0)</f>
        <v>36</v>
      </c>
      <c r="G845">
        <f>VLOOKUP(Table1[[#This Row],[Calling Node]],Nodes!A:E,5,0)</f>
        <v>12</v>
      </c>
      <c r="H845">
        <f>VLOOKUP(Table1[[#This Row],[Called Node]],Nodes!A:D,4,0)</f>
        <v>22</v>
      </c>
      <c r="I845">
        <f>VLOOKUP(Table1[[#This Row],[Called Node]],Nodes!A:E,5,0)</f>
        <v>17</v>
      </c>
    </row>
    <row r="846" spans="1:9" x14ac:dyDescent="0.3">
      <c r="A846" t="s">
        <v>405</v>
      </c>
      <c r="B846" t="str">
        <f>VLOOKUP(Table1[[#This Row],[Calling Node]],Nodes!A:B,2,0)</f>
        <v>FY2022_FiscalYears_object</v>
      </c>
      <c r="C846" t="s">
        <v>138</v>
      </c>
      <c r="D846" t="str">
        <f>VLOOKUP(Table1[[#This Row],[Called Node]],Nodes!A:B,2,0)</f>
        <v>initialize_relation_class_object_statement</v>
      </c>
      <c r="E846" s="3" t="str">
        <f>Table1[[#This Row],[Calling Node]]&amp;" -&gt; "&amp;Table1[[#This Row],[Called Node]]</f>
        <v>FY2022_FiscalYears_object -&gt; initialize_relation_class_object_statement</v>
      </c>
      <c r="F846">
        <f>VLOOKUP(Table1[[#This Row],[Calling Node]],Nodes!A:D,4,0)</f>
        <v>36</v>
      </c>
      <c r="G846">
        <f>VLOOKUP(Table1[[#This Row],[Calling Node]],Nodes!A:E,5,0)</f>
        <v>12</v>
      </c>
      <c r="H846">
        <f>VLOOKUP(Table1[[#This Row],[Called Node]],Nodes!A:D,4,0)</f>
        <v>23</v>
      </c>
      <c r="I846">
        <f>VLOOKUP(Table1[[#This Row],[Called Node]],Nodes!A:E,5,0)</f>
        <v>4</v>
      </c>
    </row>
    <row r="847" spans="1:9" x14ac:dyDescent="0.3">
      <c r="A847" t="s">
        <v>405</v>
      </c>
      <c r="B847" t="str">
        <f>VLOOKUP(Table1[[#This Row],[Calling Node]],Nodes!A:B,2,0)</f>
        <v>FY2022_FiscalYears_object</v>
      </c>
      <c r="C847" t="s">
        <v>155</v>
      </c>
      <c r="D847" t="str">
        <f>VLOOKUP(Table1[[#This Row],[Called Node]],Nodes!A:B,2,0)</f>
        <v>database_function_skip_statements</v>
      </c>
      <c r="E847" s="3" t="str">
        <f>Table1[[#This Row],[Calling Node]]&amp;" -&gt; "&amp;Table1[[#This Row],[Called Node]]</f>
        <v>FY2022_FiscalYears_object -&gt; database_function_skip_statements</v>
      </c>
      <c r="F847">
        <f>VLOOKUP(Table1[[#This Row],[Calling Node]],Nodes!A:D,4,0)</f>
        <v>36</v>
      </c>
      <c r="G847">
        <f>VLOOKUP(Table1[[#This Row],[Calling Node]],Nodes!A:E,5,0)</f>
        <v>12</v>
      </c>
      <c r="H847">
        <f>VLOOKUP(Table1[[#This Row],[Called Node]],Nodes!A:D,4,0)</f>
        <v>23</v>
      </c>
      <c r="I847">
        <f>VLOOKUP(Table1[[#This Row],[Called Node]],Nodes!A:E,5,0)</f>
        <v>21</v>
      </c>
    </row>
    <row r="848" spans="1:9" x14ac:dyDescent="0.3">
      <c r="A848" t="s">
        <v>405</v>
      </c>
      <c r="B848" t="str">
        <f>VLOOKUP(Table1[[#This Row],[Calling Node]],Nodes!A:B,2,0)</f>
        <v>FY2022_FiscalYears_object</v>
      </c>
      <c r="C848" t="s">
        <v>215</v>
      </c>
      <c r="D848" t="str">
        <f>VLOOKUP(Table1[[#This Row],[Called Node]],Nodes!A:B,2,0)</f>
        <v>engine</v>
      </c>
      <c r="E848" s="3" t="str">
        <f>Table1[[#This Row],[Calling Node]]&amp;" -&gt; "&amp;Table1[[#This Row],[Called Node]]</f>
        <v>FY2022_FiscalYears_object -&gt; engine</v>
      </c>
      <c r="F848">
        <f>VLOOKUP(Table1[[#This Row],[Calling Node]],Nodes!A:D,4,0)</f>
        <v>36</v>
      </c>
      <c r="G848">
        <f>VLOOKUP(Table1[[#This Row],[Calling Node]],Nodes!A:E,5,0)</f>
        <v>12</v>
      </c>
      <c r="H848">
        <f>VLOOKUP(Table1[[#This Row],[Called Node]],Nodes!A:D,4,0)</f>
        <v>25</v>
      </c>
      <c r="I848">
        <f>VLOOKUP(Table1[[#This Row],[Called Node]],Nodes!A:E,5,0)</f>
        <v>1</v>
      </c>
    </row>
    <row r="849" spans="1:9" x14ac:dyDescent="0.3">
      <c r="A849" t="s">
        <v>2</v>
      </c>
      <c r="B849" t="str">
        <f>VLOOKUP(Table1[[#This Row],[Calling Node]],Nodes!A:B,2,0)</f>
        <v>test_collect_fiscal_year_usage_statistics</v>
      </c>
      <c r="C849" t="s">
        <v>0</v>
      </c>
      <c r="D849" t="str">
        <f>VLOOKUP(Table1[[#This Row],[Called Node]],Nodes!A:B,2,0)</f>
        <v>PATH_TO_CREDENTIALS_FILE</v>
      </c>
      <c r="E849" s="3" t="str">
        <f>Table1[[#This Row],[Calling Node]]&amp;" -&gt; "&amp;Table1[[#This Row],[Called Node]]</f>
        <v>test_collect_fiscal_year_usage_statistics -&gt; PATH_TO_CREDENTIALS_FILE</v>
      </c>
      <c r="F849">
        <f>VLOOKUP(Table1[[#This Row],[Calling Node]],Nodes!A:D,4,0)</f>
        <v>36</v>
      </c>
      <c r="G849">
        <f>VLOOKUP(Table1[[#This Row],[Calling Node]],Nodes!A:E,5,0)</f>
        <v>13</v>
      </c>
      <c r="H849">
        <f>VLOOKUP(Table1[[#This Row],[Called Node]],Nodes!A:D,4,0)</f>
        <v>1</v>
      </c>
      <c r="I849">
        <f>VLOOKUP(Table1[[#This Row],[Called Node]],Nodes!A:E,5,0)</f>
        <v>1</v>
      </c>
    </row>
    <row r="850" spans="1:9" x14ac:dyDescent="0.3">
      <c r="A850" t="s">
        <v>2</v>
      </c>
      <c r="B850" t="str">
        <f>VLOOKUP(Table1[[#This Row],[Calling Node]],Nodes!A:B,2,0)</f>
        <v>test_collect_fiscal_year_usage_statistics</v>
      </c>
      <c r="C850" t="s">
        <v>17</v>
      </c>
      <c r="D850" t="str">
        <f>VLOOKUP(Table1[[#This Row],[Called Node]],Nodes!A:B,2,0)</f>
        <v>collect_fiscal_year_usage_statistics</v>
      </c>
      <c r="E850" s="3" t="str">
        <f>Table1[[#This Row],[Calling Node]]&amp;" -&gt; "&amp;Table1[[#This Row],[Called Node]]</f>
        <v>test_collect_fiscal_year_usage_statistics -&gt; collect_fiscal_year_usage_statistics</v>
      </c>
      <c r="F850">
        <f>VLOOKUP(Table1[[#This Row],[Calling Node]],Nodes!A:D,4,0)</f>
        <v>36</v>
      </c>
      <c r="G850">
        <f>VLOOKUP(Table1[[#This Row],[Calling Node]],Nodes!A:E,5,0)</f>
        <v>13</v>
      </c>
      <c r="H850">
        <f>VLOOKUP(Table1[[#This Row],[Called Node]],Nodes!A:D,4,0)</f>
        <v>2</v>
      </c>
      <c r="I850">
        <f>VLOOKUP(Table1[[#This Row],[Called Node]],Nodes!A:E,5,0)</f>
        <v>10</v>
      </c>
    </row>
    <row r="851" spans="1:9" x14ac:dyDescent="0.3">
      <c r="A851" t="s">
        <v>2</v>
      </c>
      <c r="B851" t="str">
        <f>VLOOKUP(Table1[[#This Row],[Calling Node]],Nodes!A:B,2,0)</f>
        <v>test_collect_fiscal_year_usage_statistics</v>
      </c>
      <c r="C851" t="s">
        <v>123</v>
      </c>
      <c r="D851" t="str">
        <f>VLOOKUP(Table1[[#This Row],[Called Node]],Nodes!A:B,2,0)</f>
        <v>query_database</v>
      </c>
      <c r="E851" s="3" t="str">
        <f>Table1[[#This Row],[Calling Node]]&amp;" -&gt; "&amp;Table1[[#This Row],[Called Node]]</f>
        <v>test_collect_fiscal_year_usage_statistics -&gt; query_database</v>
      </c>
      <c r="F851">
        <f>VLOOKUP(Table1[[#This Row],[Calling Node]],Nodes!A:D,4,0)</f>
        <v>36</v>
      </c>
      <c r="G851">
        <f>VLOOKUP(Table1[[#This Row],[Calling Node]],Nodes!A:E,5,0)</f>
        <v>13</v>
      </c>
      <c r="H851">
        <f>VLOOKUP(Table1[[#This Row],[Called Node]],Nodes!A:D,4,0)</f>
        <v>22</v>
      </c>
      <c r="I851">
        <f>VLOOKUP(Table1[[#This Row],[Called Node]],Nodes!A:E,5,0)</f>
        <v>17</v>
      </c>
    </row>
    <row r="852" spans="1:9" x14ac:dyDescent="0.3">
      <c r="A852" t="s">
        <v>2</v>
      </c>
      <c r="B852" t="str">
        <f>VLOOKUP(Table1[[#This Row],[Calling Node]],Nodes!A:B,2,0)</f>
        <v>test_collect_fiscal_year_usage_statistics</v>
      </c>
      <c r="C852" t="s">
        <v>126</v>
      </c>
      <c r="D852" t="str">
        <f>VLOOKUP(Table1[[#This Row],[Called Node]],Nodes!A:B,2,0)</f>
        <v>update_database</v>
      </c>
      <c r="E852" s="3" t="str">
        <f>Table1[[#This Row],[Calling Node]]&amp;" -&gt; "&amp;Table1[[#This Row],[Called Node]]</f>
        <v>test_collect_fiscal_year_usage_statistics -&gt; update_database</v>
      </c>
      <c r="F852">
        <f>VLOOKUP(Table1[[#This Row],[Calling Node]],Nodes!A:D,4,0)</f>
        <v>36</v>
      </c>
      <c r="G852">
        <f>VLOOKUP(Table1[[#This Row],[Calling Node]],Nodes!A:E,5,0)</f>
        <v>13</v>
      </c>
      <c r="H852">
        <f>VLOOKUP(Table1[[#This Row],[Called Node]],Nodes!A:D,4,0)</f>
        <v>22</v>
      </c>
      <c r="I852">
        <f>VLOOKUP(Table1[[#This Row],[Called Node]],Nodes!A:E,5,0)</f>
        <v>20</v>
      </c>
    </row>
    <row r="853" spans="1:9" x14ac:dyDescent="0.3">
      <c r="A853" t="s">
        <v>2</v>
      </c>
      <c r="B853" t="str">
        <f>VLOOKUP(Table1[[#This Row],[Calling Node]],Nodes!A:B,2,0)</f>
        <v>test_collect_fiscal_year_usage_statistics</v>
      </c>
      <c r="C853" t="s">
        <v>130</v>
      </c>
      <c r="D853" t="str">
        <f>VLOOKUP(Table1[[#This Row],[Called Node]],Nodes!A:B,2,0)</f>
        <v>extract_value_from_single_value_df</v>
      </c>
      <c r="E853" s="3" t="str">
        <f>Table1[[#This Row],[Calling Node]]&amp;" -&gt; "&amp;Table1[[#This Row],[Called Node]]</f>
        <v>test_collect_fiscal_year_usage_statistics -&gt; extract_value_from_single_value_df</v>
      </c>
      <c r="F853">
        <f>VLOOKUP(Table1[[#This Row],[Calling Node]],Nodes!A:D,4,0)</f>
        <v>36</v>
      </c>
      <c r="G853">
        <f>VLOOKUP(Table1[[#This Row],[Calling Node]],Nodes!A:E,5,0)</f>
        <v>13</v>
      </c>
      <c r="H853">
        <f>VLOOKUP(Table1[[#This Row],[Called Node]],Nodes!A:D,4,0)</f>
        <v>22</v>
      </c>
      <c r="I853">
        <f>VLOOKUP(Table1[[#This Row],[Called Node]],Nodes!A:E,5,0)</f>
        <v>24</v>
      </c>
    </row>
    <row r="854" spans="1:9" x14ac:dyDescent="0.3">
      <c r="A854" t="s">
        <v>2</v>
      </c>
      <c r="B854" t="str">
        <f>VLOOKUP(Table1[[#This Row],[Calling Node]],Nodes!A:B,2,0)</f>
        <v>test_collect_fiscal_year_usage_statistics</v>
      </c>
      <c r="C854" t="s">
        <v>155</v>
      </c>
      <c r="D854" t="str">
        <f>VLOOKUP(Table1[[#This Row],[Called Node]],Nodes!A:B,2,0)</f>
        <v>database_function_skip_statements</v>
      </c>
      <c r="E854" s="3" t="str">
        <f>Table1[[#This Row],[Calling Node]]&amp;" -&gt; "&amp;Table1[[#This Row],[Called Node]]</f>
        <v>test_collect_fiscal_year_usage_statistics -&gt; database_function_skip_statements</v>
      </c>
      <c r="F854">
        <f>VLOOKUP(Table1[[#This Row],[Calling Node]],Nodes!A:D,4,0)</f>
        <v>36</v>
      </c>
      <c r="G854">
        <f>VLOOKUP(Table1[[#This Row],[Calling Node]],Nodes!A:E,5,0)</f>
        <v>13</v>
      </c>
      <c r="H854">
        <f>VLOOKUP(Table1[[#This Row],[Called Node]],Nodes!A:D,4,0)</f>
        <v>23</v>
      </c>
      <c r="I854">
        <f>VLOOKUP(Table1[[#This Row],[Called Node]],Nodes!A:E,5,0)</f>
        <v>21</v>
      </c>
    </row>
    <row r="855" spans="1:9" x14ac:dyDescent="0.3">
      <c r="A855" t="s">
        <v>2</v>
      </c>
      <c r="B855" t="str">
        <f>VLOOKUP(Table1[[#This Row],[Calling Node]],Nodes!A:B,2,0)</f>
        <v>test_collect_fiscal_year_usage_statistics</v>
      </c>
      <c r="C855" t="s">
        <v>156</v>
      </c>
      <c r="D855" t="str">
        <f>VLOOKUP(Table1[[#This Row],[Called Node]],Nodes!A:B,2,0)</f>
        <v>load_data_into_database_success_regex</v>
      </c>
      <c r="E855" s="3" t="str">
        <f>Table1[[#This Row],[Calling Node]]&amp;" -&gt; "&amp;Table1[[#This Row],[Called Node]]</f>
        <v>test_collect_fiscal_year_usage_statistics -&gt; load_data_into_database_success_regex</v>
      </c>
      <c r="F855">
        <f>VLOOKUP(Table1[[#This Row],[Calling Node]],Nodes!A:D,4,0)</f>
        <v>36</v>
      </c>
      <c r="G855">
        <f>VLOOKUP(Table1[[#This Row],[Calling Node]],Nodes!A:E,5,0)</f>
        <v>13</v>
      </c>
      <c r="H855">
        <f>VLOOKUP(Table1[[#This Row],[Called Node]],Nodes!A:D,4,0)</f>
        <v>23</v>
      </c>
      <c r="I855">
        <f>VLOOKUP(Table1[[#This Row],[Called Node]],Nodes!A:E,5,0)</f>
        <v>22</v>
      </c>
    </row>
    <row r="856" spans="1:9" x14ac:dyDescent="0.3">
      <c r="A856" t="s">
        <v>2</v>
      </c>
      <c r="B856" t="str">
        <f>VLOOKUP(Table1[[#This Row],[Calling Node]],Nodes!A:B,2,0)</f>
        <v>test_collect_fiscal_year_usage_statistics</v>
      </c>
      <c r="C856" t="s">
        <v>157</v>
      </c>
      <c r="D856" t="str">
        <f>VLOOKUP(Table1[[#This Row],[Called Node]],Nodes!A:B,2,0)</f>
        <v>update_database_success_regex</v>
      </c>
      <c r="E856" s="3" t="str">
        <f>Table1[[#This Row],[Calling Node]]&amp;" -&gt; "&amp;Table1[[#This Row],[Called Node]]</f>
        <v>test_collect_fiscal_year_usage_statistics -&gt; update_database_success_regex</v>
      </c>
      <c r="F856">
        <f>VLOOKUP(Table1[[#This Row],[Calling Node]],Nodes!A:D,4,0)</f>
        <v>36</v>
      </c>
      <c r="G856">
        <f>VLOOKUP(Table1[[#This Row],[Calling Node]],Nodes!A:E,5,0)</f>
        <v>13</v>
      </c>
      <c r="H856">
        <f>VLOOKUP(Table1[[#This Row],[Called Node]],Nodes!A:D,4,0)</f>
        <v>23</v>
      </c>
      <c r="I856">
        <f>VLOOKUP(Table1[[#This Row],[Called Node]],Nodes!A:E,5,0)</f>
        <v>23</v>
      </c>
    </row>
    <row r="857" spans="1:9" x14ac:dyDescent="0.3">
      <c r="A857" t="s">
        <v>2</v>
      </c>
      <c r="B857" t="str">
        <f>VLOOKUP(Table1[[#This Row],[Calling Node]],Nodes!A:B,2,0)</f>
        <v>test_collect_fiscal_year_usage_statistics</v>
      </c>
      <c r="C857" t="s">
        <v>157</v>
      </c>
      <c r="D857" t="str">
        <f>VLOOKUP(Table1[[#This Row],[Called Node]],Nodes!A:B,2,0)</f>
        <v>update_database_success_regex</v>
      </c>
      <c r="E857" s="3" t="str">
        <f>Table1[[#This Row],[Calling Node]]&amp;" -&gt; "&amp;Table1[[#This Row],[Called Node]]</f>
        <v>test_collect_fiscal_year_usage_statistics -&gt; update_database_success_regex</v>
      </c>
      <c r="F857">
        <f>VLOOKUP(Table1[[#This Row],[Calling Node]],Nodes!A:D,4,0)</f>
        <v>36</v>
      </c>
      <c r="G857">
        <f>VLOOKUP(Table1[[#This Row],[Calling Node]],Nodes!A:E,5,0)</f>
        <v>13</v>
      </c>
      <c r="H857">
        <f>VLOOKUP(Table1[[#This Row],[Called Node]],Nodes!A:D,4,0)</f>
        <v>23</v>
      </c>
      <c r="I857">
        <f>VLOOKUP(Table1[[#This Row],[Called Node]],Nodes!A:E,5,0)</f>
        <v>23</v>
      </c>
    </row>
    <row r="858" spans="1:9" x14ac:dyDescent="0.3">
      <c r="A858" t="s">
        <v>2</v>
      </c>
      <c r="B858" t="str">
        <f>VLOOKUP(Table1[[#This Row],[Calling Node]],Nodes!A:B,2,0)</f>
        <v>test_collect_fiscal_year_usage_statistics</v>
      </c>
      <c r="C858" t="s">
        <v>215</v>
      </c>
      <c r="D858" t="str">
        <f>VLOOKUP(Table1[[#This Row],[Called Node]],Nodes!A:B,2,0)</f>
        <v>engine</v>
      </c>
      <c r="E858" s="3" t="str">
        <f>Table1[[#This Row],[Calling Node]]&amp;" -&gt; "&amp;Table1[[#This Row],[Called Node]]</f>
        <v>test_collect_fiscal_year_usage_statistics -&gt; engine</v>
      </c>
      <c r="F858">
        <f>VLOOKUP(Table1[[#This Row],[Calling Node]],Nodes!A:D,4,0)</f>
        <v>36</v>
      </c>
      <c r="G858">
        <f>VLOOKUP(Table1[[#This Row],[Calling Node]],Nodes!A:E,5,0)</f>
        <v>13</v>
      </c>
      <c r="H858">
        <f>VLOOKUP(Table1[[#This Row],[Called Node]],Nodes!A:D,4,0)</f>
        <v>25</v>
      </c>
      <c r="I858">
        <f>VLOOKUP(Table1[[#This Row],[Called Node]],Nodes!A:E,5,0)</f>
        <v>1</v>
      </c>
    </row>
    <row r="859" spans="1:9" x14ac:dyDescent="0.3">
      <c r="A859" t="s">
        <v>2</v>
      </c>
      <c r="B859" t="str">
        <f>VLOOKUP(Table1[[#This Row],[Calling Node]],Nodes!A:B,2,0)</f>
        <v>test_collect_fiscal_year_usage_statistics</v>
      </c>
      <c r="C859" t="s">
        <v>405</v>
      </c>
      <c r="D859" t="str">
        <f>VLOOKUP(Table1[[#This Row],[Called Node]],Nodes!A:B,2,0)</f>
        <v>FY2022_FiscalYears_object</v>
      </c>
      <c r="E859" s="3" t="str">
        <f>Table1[[#This Row],[Calling Node]]&amp;" -&gt; "&amp;Table1[[#This Row],[Called Node]]</f>
        <v>test_collect_fiscal_year_usage_statistics -&gt; FY2022_FiscalYears_object</v>
      </c>
      <c r="F859">
        <f>VLOOKUP(Table1[[#This Row],[Calling Node]],Nodes!A:D,4,0)</f>
        <v>36</v>
      </c>
      <c r="G859">
        <f>VLOOKUP(Table1[[#This Row],[Calling Node]],Nodes!A:E,5,0)</f>
        <v>13</v>
      </c>
      <c r="H859">
        <f>VLOOKUP(Table1[[#This Row],[Called Node]],Nodes!A:D,4,0)</f>
        <v>36</v>
      </c>
      <c r="I859">
        <f>VLOOKUP(Table1[[#This Row],[Called Node]],Nodes!A:E,5,0)</f>
        <v>12</v>
      </c>
    </row>
    <row r="860" spans="1:9" x14ac:dyDescent="0.3">
      <c r="A860" t="s">
        <v>412</v>
      </c>
      <c r="B860" t="str">
        <f>VLOOKUP(Table1[[#This Row],[Calling Node]],Nodes!A:B,2,0)</f>
        <v>test_format_list_for_stdout_with_list</v>
      </c>
      <c r="C860" t="s">
        <v>136</v>
      </c>
      <c r="D860" t="str">
        <f>VLOOKUP(Table1[[#This Row],[Called Node]],Nodes!A:B,2,0)</f>
        <v>format_list_for_stdout</v>
      </c>
      <c r="E860" s="3" t="str">
        <f>Table1[[#This Row],[Calling Node]]&amp;" -&gt; "&amp;Table1[[#This Row],[Called Node]]</f>
        <v>test_format_list_for_stdout_with_list -&gt; format_list_for_stdout</v>
      </c>
      <c r="F860">
        <f>VLOOKUP(Table1[[#This Row],[Calling Node]],Nodes!A:D,4,0)</f>
        <v>38</v>
      </c>
      <c r="G860">
        <f>VLOOKUP(Table1[[#This Row],[Calling Node]],Nodes!A:E,5,0)</f>
        <v>1</v>
      </c>
      <c r="H860">
        <f>VLOOKUP(Table1[[#This Row],[Called Node]],Nodes!A:D,4,0)</f>
        <v>23</v>
      </c>
      <c r="I860">
        <f>VLOOKUP(Table1[[#This Row],[Called Node]],Nodes!A:E,5,0)</f>
        <v>2</v>
      </c>
    </row>
    <row r="861" spans="1:9" x14ac:dyDescent="0.3">
      <c r="A861" t="s">
        <v>413</v>
      </c>
      <c r="B861" t="str">
        <f>VLOOKUP(Table1[[#This Row],[Calling Node]],Nodes!A:B,2,0)</f>
        <v>test_format_list_for_stdout_with_generator</v>
      </c>
      <c r="C861" t="s">
        <v>136</v>
      </c>
      <c r="D861" t="str">
        <f>VLOOKUP(Table1[[#This Row],[Called Node]],Nodes!A:B,2,0)</f>
        <v>format_list_for_stdout</v>
      </c>
      <c r="E861" s="3" t="str">
        <f>Table1[[#This Row],[Calling Node]]&amp;" -&gt; "&amp;Table1[[#This Row],[Called Node]]</f>
        <v>test_format_list_for_stdout_with_generator -&gt; format_list_for_stdout</v>
      </c>
      <c r="F861">
        <f>VLOOKUP(Table1[[#This Row],[Calling Node]],Nodes!A:D,4,0)</f>
        <v>38</v>
      </c>
      <c r="G861">
        <f>VLOOKUP(Table1[[#This Row],[Calling Node]],Nodes!A:E,5,0)</f>
        <v>2</v>
      </c>
      <c r="H861">
        <f>VLOOKUP(Table1[[#This Row],[Called Node]],Nodes!A:D,4,0)</f>
        <v>23</v>
      </c>
      <c r="I861">
        <f>VLOOKUP(Table1[[#This Row],[Called Node]],Nodes!A:E,5,0)</f>
        <v>2</v>
      </c>
    </row>
    <row r="862" spans="1:9" x14ac:dyDescent="0.3">
      <c r="A862" t="s">
        <v>413</v>
      </c>
      <c r="B862" t="str">
        <f>VLOOKUP(Table1[[#This Row],[Calling Node]],Nodes!A:B,2,0)</f>
        <v>test_format_list_for_stdout_with_generator</v>
      </c>
      <c r="C862" t="s">
        <v>245</v>
      </c>
      <c r="D862" t="str">
        <f>VLOOKUP(Table1[[#This Row],[Called Node]],Nodes!A:B,2,0)</f>
        <v>create_COUNTERData_workbook_iterdir_list</v>
      </c>
      <c r="E862" s="3" t="str">
        <f>Table1[[#This Row],[Calling Node]]&amp;" -&gt; "&amp;Table1[[#This Row],[Called Node]]</f>
        <v>test_format_list_for_stdout_with_generator -&gt; create_COUNTERData_workbook_iterdir_list</v>
      </c>
      <c r="F862">
        <f>VLOOKUP(Table1[[#This Row],[Calling Node]],Nodes!A:D,4,0)</f>
        <v>38</v>
      </c>
      <c r="G862">
        <f>VLOOKUP(Table1[[#This Row],[Calling Node]],Nodes!A:E,5,0)</f>
        <v>2</v>
      </c>
      <c r="H862">
        <f>VLOOKUP(Table1[[#This Row],[Called Node]],Nodes!A:D,4,0)</f>
        <v>25</v>
      </c>
      <c r="I862">
        <f>VLOOKUP(Table1[[#This Row],[Called Node]],Nodes!A:E,5,0)</f>
        <v>31</v>
      </c>
    </row>
    <row r="863" spans="1:9" x14ac:dyDescent="0.3">
      <c r="A863" t="s">
        <v>414</v>
      </c>
      <c r="B863" t="str">
        <f>VLOOKUP(Table1[[#This Row],[Calling Node]],Nodes!A:B,2,0)</f>
        <v>test_remove_IDE_spacing_from_statement</v>
      </c>
      <c r="C863" t="s">
        <v>137</v>
      </c>
      <c r="D863" t="str">
        <f>VLOOKUP(Table1[[#This Row],[Called Node]],Nodes!A:B,2,0)</f>
        <v>remove_IDE_spacing_from_statement</v>
      </c>
      <c r="E863" s="3" t="str">
        <f>Table1[[#This Row],[Calling Node]]&amp;" -&gt; "&amp;Table1[[#This Row],[Called Node]]</f>
        <v>test_remove_IDE_spacing_from_statement -&gt; remove_IDE_spacing_from_statement</v>
      </c>
      <c r="F863">
        <f>VLOOKUP(Table1[[#This Row],[Calling Node]],Nodes!A:D,4,0)</f>
        <v>38</v>
      </c>
      <c r="G863">
        <f>VLOOKUP(Table1[[#This Row],[Calling Node]],Nodes!A:E,5,0)</f>
        <v>3</v>
      </c>
      <c r="H863">
        <f>VLOOKUP(Table1[[#This Row],[Called Node]],Nodes!A:D,4,0)</f>
        <v>23</v>
      </c>
      <c r="I863">
        <f>VLOOKUP(Table1[[#This Row],[Called Node]],Nodes!A:E,5,0)</f>
        <v>3</v>
      </c>
    </row>
    <row r="864" spans="1:9" x14ac:dyDescent="0.3">
      <c r="A864" t="s">
        <v>416</v>
      </c>
      <c r="B864" t="str">
        <f>VLOOKUP(Table1[[#This Row],[Calling Node]],Nodes!A:B,2,0)</f>
        <v>current_month_like_most_recent_month_with_usage</v>
      </c>
      <c r="C864" t="s">
        <v>115</v>
      </c>
      <c r="D864" t="str">
        <f>VLOOKUP(Table1[[#This Row],[Called Node]],Nodes!A:B,2,0)</f>
        <v>last_day_of_month</v>
      </c>
      <c r="E864" s="3" t="str">
        <f>Table1[[#This Row],[Calling Node]]&amp;" -&gt; "&amp;Table1[[#This Row],[Called Node]]</f>
        <v>current_month_like_most_recent_month_with_usage -&gt; last_day_of_month</v>
      </c>
      <c r="F864">
        <f>VLOOKUP(Table1[[#This Row],[Calling Node]],Nodes!A:D,4,0)</f>
        <v>39</v>
      </c>
      <c r="G864">
        <f>VLOOKUP(Table1[[#This Row],[Calling Node]],Nodes!A:E,5,0)</f>
        <v>1</v>
      </c>
      <c r="H864">
        <f>VLOOKUP(Table1[[#This Row],[Called Node]],Nodes!A:D,4,0)</f>
        <v>22</v>
      </c>
      <c r="I864">
        <f>VLOOKUP(Table1[[#This Row],[Called Node]],Nodes!A:E,5,0)</f>
        <v>9</v>
      </c>
    </row>
    <row r="865" spans="1:9" x14ac:dyDescent="0.3">
      <c r="A865" t="s">
        <v>3</v>
      </c>
      <c r="B865" t="str">
        <f>VLOOKUP(Table1[[#This Row],[Calling Node]],Nodes!A:B,2,0)</f>
        <v>StatisticsSources_fixture</v>
      </c>
      <c r="C865" t="s">
        <v>0</v>
      </c>
      <c r="D865" t="str">
        <f>VLOOKUP(Table1[[#This Row],[Called Node]],Nodes!A:B,2,0)</f>
        <v>PATH_TO_CREDENTIALS_FILE</v>
      </c>
      <c r="E865" s="3" t="str">
        <f>Table1[[#This Row],[Calling Node]]&amp;" -&gt; "&amp;Table1[[#This Row],[Called Node]]</f>
        <v>StatisticsSources_fixture -&gt; PATH_TO_CREDENTIALS_FILE</v>
      </c>
      <c r="F865">
        <f>VLOOKUP(Table1[[#This Row],[Calling Node]],Nodes!A:D,4,0)</f>
        <v>39</v>
      </c>
      <c r="G865">
        <f>VLOOKUP(Table1[[#This Row],[Calling Node]],Nodes!A:E,5,0)</f>
        <v>2</v>
      </c>
      <c r="H865">
        <f>VLOOKUP(Table1[[#This Row],[Called Node]],Nodes!A:D,4,0)</f>
        <v>1</v>
      </c>
      <c r="I865">
        <f>VLOOKUP(Table1[[#This Row],[Called Node]],Nodes!A:E,5,0)</f>
        <v>1</v>
      </c>
    </row>
    <row r="866" spans="1:9" x14ac:dyDescent="0.3">
      <c r="A866" t="s">
        <v>3</v>
      </c>
      <c r="B866" t="str">
        <f>VLOOKUP(Table1[[#This Row],[Calling Node]],Nodes!A:B,2,0)</f>
        <v>StatisticsSources_fixture</v>
      </c>
      <c r="C866" t="s">
        <v>123</v>
      </c>
      <c r="D866" t="str">
        <f>VLOOKUP(Table1[[#This Row],[Called Node]],Nodes!A:B,2,0)</f>
        <v>query_database</v>
      </c>
      <c r="E866" s="3" t="str">
        <f>Table1[[#This Row],[Calling Node]]&amp;" -&gt; "&amp;Table1[[#This Row],[Called Node]]</f>
        <v>StatisticsSources_fixture -&gt; query_database</v>
      </c>
      <c r="F866">
        <f>VLOOKUP(Table1[[#This Row],[Calling Node]],Nodes!A:D,4,0)</f>
        <v>39</v>
      </c>
      <c r="G866">
        <f>VLOOKUP(Table1[[#This Row],[Calling Node]],Nodes!A:E,5,0)</f>
        <v>2</v>
      </c>
      <c r="H866">
        <f>VLOOKUP(Table1[[#This Row],[Called Node]],Nodes!A:D,4,0)</f>
        <v>22</v>
      </c>
      <c r="I866">
        <f>VLOOKUP(Table1[[#This Row],[Called Node]],Nodes!A:E,5,0)</f>
        <v>17</v>
      </c>
    </row>
    <row r="867" spans="1:9" x14ac:dyDescent="0.3">
      <c r="A867" t="s">
        <v>3</v>
      </c>
      <c r="B867" t="str">
        <f>VLOOKUP(Table1[[#This Row],[Calling Node]],Nodes!A:B,2,0)</f>
        <v>StatisticsSources_fixture</v>
      </c>
      <c r="C867" t="s">
        <v>130</v>
      </c>
      <c r="D867" t="str">
        <f>VLOOKUP(Table1[[#This Row],[Called Node]],Nodes!A:B,2,0)</f>
        <v>extract_value_from_single_value_df</v>
      </c>
      <c r="E867" s="3" t="str">
        <f>Table1[[#This Row],[Calling Node]]&amp;" -&gt; "&amp;Table1[[#This Row],[Called Node]]</f>
        <v>StatisticsSources_fixture -&gt; extract_value_from_single_value_df</v>
      </c>
      <c r="F867">
        <f>VLOOKUP(Table1[[#This Row],[Calling Node]],Nodes!A:D,4,0)</f>
        <v>39</v>
      </c>
      <c r="G867">
        <f>VLOOKUP(Table1[[#This Row],[Calling Node]],Nodes!A:E,5,0)</f>
        <v>2</v>
      </c>
      <c r="H867">
        <f>VLOOKUP(Table1[[#This Row],[Called Node]],Nodes!A:D,4,0)</f>
        <v>22</v>
      </c>
      <c r="I867">
        <f>VLOOKUP(Table1[[#This Row],[Called Node]],Nodes!A:E,5,0)</f>
        <v>24</v>
      </c>
    </row>
    <row r="868" spans="1:9" x14ac:dyDescent="0.3">
      <c r="A868" t="s">
        <v>3</v>
      </c>
      <c r="B868" t="str">
        <f>VLOOKUP(Table1[[#This Row],[Calling Node]],Nodes!A:B,2,0)</f>
        <v>StatisticsSources_fixture</v>
      </c>
      <c r="C868" t="s">
        <v>139</v>
      </c>
      <c r="D868" t="str">
        <f>VLOOKUP(Table1[[#This Row],[Called Node]],Nodes!A:B,2,0)</f>
        <v>fixture_variable_value_declaration_statement</v>
      </c>
      <c r="E868" s="3" t="str">
        <f>Table1[[#This Row],[Calling Node]]&amp;" -&gt; "&amp;Table1[[#This Row],[Called Node]]</f>
        <v>StatisticsSources_fixture -&gt; fixture_variable_value_declaration_statement</v>
      </c>
      <c r="F868">
        <f>VLOOKUP(Table1[[#This Row],[Calling Node]],Nodes!A:D,4,0)</f>
        <v>39</v>
      </c>
      <c r="G868">
        <f>VLOOKUP(Table1[[#This Row],[Calling Node]],Nodes!A:E,5,0)</f>
        <v>2</v>
      </c>
      <c r="H868">
        <f>VLOOKUP(Table1[[#This Row],[Called Node]],Nodes!A:D,4,0)</f>
        <v>23</v>
      </c>
      <c r="I868">
        <f>VLOOKUP(Table1[[#This Row],[Called Node]],Nodes!A:E,5,0)</f>
        <v>5</v>
      </c>
    </row>
    <row r="869" spans="1:9" x14ac:dyDescent="0.3">
      <c r="A869" t="s">
        <v>3</v>
      </c>
      <c r="B869" t="str">
        <f>VLOOKUP(Table1[[#This Row],[Calling Node]],Nodes!A:B,2,0)</f>
        <v>StatisticsSources_fixture</v>
      </c>
      <c r="C869" t="s">
        <v>155</v>
      </c>
      <c r="D869" t="str">
        <f>VLOOKUP(Table1[[#This Row],[Called Node]],Nodes!A:B,2,0)</f>
        <v>database_function_skip_statements</v>
      </c>
      <c r="E869" s="3" t="str">
        <f>Table1[[#This Row],[Calling Node]]&amp;" -&gt; "&amp;Table1[[#This Row],[Called Node]]</f>
        <v>StatisticsSources_fixture -&gt; database_function_skip_statements</v>
      </c>
      <c r="F869">
        <f>VLOOKUP(Table1[[#This Row],[Calling Node]],Nodes!A:D,4,0)</f>
        <v>39</v>
      </c>
      <c r="G869">
        <f>VLOOKUP(Table1[[#This Row],[Calling Node]],Nodes!A:E,5,0)</f>
        <v>2</v>
      </c>
      <c r="H869">
        <f>VLOOKUP(Table1[[#This Row],[Called Node]],Nodes!A:D,4,0)</f>
        <v>23</v>
      </c>
      <c r="I869">
        <f>VLOOKUP(Table1[[#This Row],[Called Node]],Nodes!A:E,5,0)</f>
        <v>21</v>
      </c>
    </row>
    <row r="870" spans="1:9" x14ac:dyDescent="0.3">
      <c r="A870" t="s">
        <v>3</v>
      </c>
      <c r="B870" t="str">
        <f>VLOOKUP(Table1[[#This Row],[Calling Node]],Nodes!A:B,2,0)</f>
        <v>StatisticsSources_fixture</v>
      </c>
      <c r="C870" t="s">
        <v>215</v>
      </c>
      <c r="D870" t="str">
        <f>VLOOKUP(Table1[[#This Row],[Called Node]],Nodes!A:B,2,0)</f>
        <v>engine</v>
      </c>
      <c r="E870" s="3" t="str">
        <f>Table1[[#This Row],[Calling Node]]&amp;" -&gt; "&amp;Table1[[#This Row],[Called Node]]</f>
        <v>StatisticsSources_fixture -&gt; engine</v>
      </c>
      <c r="F870">
        <f>VLOOKUP(Table1[[#This Row],[Calling Node]],Nodes!A:D,4,0)</f>
        <v>39</v>
      </c>
      <c r="G870">
        <f>VLOOKUP(Table1[[#This Row],[Calling Node]],Nodes!A:E,5,0)</f>
        <v>2</v>
      </c>
      <c r="H870">
        <f>VLOOKUP(Table1[[#This Row],[Called Node]],Nodes!A:D,4,0)</f>
        <v>25</v>
      </c>
      <c r="I870">
        <f>VLOOKUP(Table1[[#This Row],[Called Node]],Nodes!A:E,5,0)</f>
        <v>1</v>
      </c>
    </row>
    <row r="871" spans="1:9" x14ac:dyDescent="0.3">
      <c r="A871" t="s">
        <v>3</v>
      </c>
      <c r="B871" t="str">
        <f>VLOOKUP(Table1[[#This Row],[Calling Node]],Nodes!A:B,2,0)</f>
        <v>StatisticsSources_fixture</v>
      </c>
      <c r="C871" t="s">
        <v>254</v>
      </c>
      <c r="D871" t="str">
        <f>VLOOKUP(Table1[[#This Row],[Called Node]],Nodes!A:B,2,0)</f>
        <v>most_recent_month_with_usage</v>
      </c>
      <c r="E871" s="3" t="str">
        <f>Table1[[#This Row],[Calling Node]]&amp;" -&gt; "&amp;Table1[[#This Row],[Called Node]]</f>
        <v>StatisticsSources_fixture -&gt; most_recent_month_with_usage</v>
      </c>
      <c r="F871">
        <f>VLOOKUP(Table1[[#This Row],[Calling Node]],Nodes!A:D,4,0)</f>
        <v>39</v>
      </c>
      <c r="G871">
        <f>VLOOKUP(Table1[[#This Row],[Calling Node]],Nodes!A:E,5,0)</f>
        <v>2</v>
      </c>
      <c r="H871">
        <f>VLOOKUP(Table1[[#This Row],[Called Node]],Nodes!A:D,4,0)</f>
        <v>25</v>
      </c>
      <c r="I871">
        <f>VLOOKUP(Table1[[#This Row],[Called Node]],Nodes!A:E,5,0)</f>
        <v>40</v>
      </c>
    </row>
    <row r="872" spans="1:9" x14ac:dyDescent="0.3">
      <c r="A872" t="s">
        <v>417</v>
      </c>
      <c r="B872" t="str">
        <f>VLOOKUP(Table1[[#This Row],[Calling Node]],Nodes!A:B,2,0)</f>
        <v>test_fetch_SUSHI_information_for_API</v>
      </c>
      <c r="C872" t="s">
        <v>1</v>
      </c>
      <c r="D872" t="str">
        <f>VLOOKUP(Table1[[#This Row],[Called Node]],Nodes!A:B,2,0)</f>
        <v>fetch_SUSHI_information</v>
      </c>
      <c r="E872" s="3" t="str">
        <f>Table1[[#This Row],[Calling Node]]&amp;" -&gt; "&amp;Table1[[#This Row],[Called Node]]</f>
        <v>test_fetch_SUSHI_information_for_API -&gt; fetch_SUSHI_information</v>
      </c>
      <c r="F872">
        <f>VLOOKUP(Table1[[#This Row],[Calling Node]],Nodes!A:D,4,0)</f>
        <v>39</v>
      </c>
      <c r="G872">
        <f>VLOOKUP(Table1[[#This Row],[Calling Node]],Nodes!A:E,5,0)</f>
        <v>3</v>
      </c>
      <c r="H872">
        <f>VLOOKUP(Table1[[#This Row],[Called Node]],Nodes!A:D,4,0)</f>
        <v>6</v>
      </c>
      <c r="I872">
        <f>VLOOKUP(Table1[[#This Row],[Called Node]],Nodes!A:E,5,0)</f>
        <v>2</v>
      </c>
    </row>
    <row r="873" spans="1:9" x14ac:dyDescent="0.3">
      <c r="A873" t="s">
        <v>417</v>
      </c>
      <c r="B873" t="str">
        <f>VLOOKUP(Table1[[#This Row],[Calling Node]],Nodes!A:B,2,0)</f>
        <v>test_fetch_SUSHI_information_for_API</v>
      </c>
      <c r="C873" t="s">
        <v>3</v>
      </c>
      <c r="D873" t="str">
        <f>VLOOKUP(Table1[[#This Row],[Called Node]],Nodes!A:B,2,0)</f>
        <v>StatisticsSources_fixture</v>
      </c>
      <c r="E873" s="3" t="str">
        <f>Table1[[#This Row],[Calling Node]]&amp;" -&gt; "&amp;Table1[[#This Row],[Called Node]]</f>
        <v>test_fetch_SUSHI_information_for_API -&gt; StatisticsSources_fixture</v>
      </c>
      <c r="F873">
        <f>VLOOKUP(Table1[[#This Row],[Calling Node]],Nodes!A:D,4,0)</f>
        <v>39</v>
      </c>
      <c r="G873">
        <f>VLOOKUP(Table1[[#This Row],[Calling Node]],Nodes!A:E,5,0)</f>
        <v>3</v>
      </c>
      <c r="H873">
        <f>VLOOKUP(Table1[[#This Row],[Called Node]],Nodes!A:D,4,0)</f>
        <v>39</v>
      </c>
      <c r="I873">
        <f>VLOOKUP(Table1[[#This Row],[Called Node]],Nodes!A:E,5,0)</f>
        <v>2</v>
      </c>
    </row>
    <row r="874" spans="1:9" x14ac:dyDescent="0.3">
      <c r="A874" t="s">
        <v>419</v>
      </c>
      <c r="B874" s="2" t="str">
        <f>VLOOKUP(Table1[[#This Row],[Calling Node]],Nodes!A:B,2,0)</f>
        <v>SUSHI_credentials_fixture</v>
      </c>
      <c r="C874" t="s">
        <v>1</v>
      </c>
      <c r="D874" t="str">
        <f>VLOOKUP(Table1[[#This Row],[Called Node]],Nodes!A:B,2,0)</f>
        <v>fetch_SUSHI_information</v>
      </c>
      <c r="E874" s="3" t="str">
        <f>Table1[[#This Row],[Calling Node]]&amp;" -&gt; "&amp;Table1[[#This Row],[Called Node]]</f>
        <v>SUSHI_credentials_fixture_in_test_StatisticsSources -&gt; fetch_SUSHI_information</v>
      </c>
      <c r="F874">
        <f>VLOOKUP(Table1[[#This Row],[Calling Node]],Nodes!A:D,4,0)</f>
        <v>39</v>
      </c>
      <c r="G874">
        <f>VLOOKUP(Table1[[#This Row],[Calling Node]],Nodes!A:E,5,0)</f>
        <v>5</v>
      </c>
      <c r="H874">
        <f>VLOOKUP(Table1[[#This Row],[Called Node]],Nodes!A:D,4,0)</f>
        <v>6</v>
      </c>
      <c r="I874">
        <f>VLOOKUP(Table1[[#This Row],[Called Node]],Nodes!A:E,5,0)</f>
        <v>2</v>
      </c>
    </row>
    <row r="875" spans="1:9" x14ac:dyDescent="0.3">
      <c r="A875" t="s">
        <v>419</v>
      </c>
      <c r="B875" s="2" t="str">
        <f>VLOOKUP(Table1[[#This Row],[Calling Node]],Nodes!A:B,2,0)</f>
        <v>SUSHI_credentials_fixture</v>
      </c>
      <c r="C875" t="s">
        <v>3</v>
      </c>
      <c r="D875" t="str">
        <f>VLOOKUP(Table1[[#This Row],[Called Node]],Nodes!A:B,2,0)</f>
        <v>StatisticsSources_fixture</v>
      </c>
      <c r="E875" s="3" t="str">
        <f>Table1[[#This Row],[Calling Node]]&amp;" -&gt; "&amp;Table1[[#This Row],[Called Node]]</f>
        <v>SUSHI_credentials_fixture_in_test_StatisticsSources -&gt; StatisticsSources_fixture</v>
      </c>
      <c r="F875">
        <f>VLOOKUP(Table1[[#This Row],[Calling Node]],Nodes!A:D,4,0)</f>
        <v>39</v>
      </c>
      <c r="G875">
        <f>VLOOKUP(Table1[[#This Row],[Calling Node]],Nodes!A:E,5,0)</f>
        <v>5</v>
      </c>
      <c r="H875">
        <f>VLOOKUP(Table1[[#This Row],[Called Node]],Nodes!A:D,4,0)</f>
        <v>39</v>
      </c>
      <c r="I875">
        <f>VLOOKUP(Table1[[#This Row],[Called Node]],Nodes!A:E,5,0)</f>
        <v>2</v>
      </c>
    </row>
    <row r="876" spans="1:9" x14ac:dyDescent="0.3">
      <c r="A876" t="s">
        <v>420</v>
      </c>
      <c r="B876" t="str">
        <f>VLOOKUP(Table1[[#This Row],[Calling Node]],Nodes!A:B,2,0)</f>
        <v>reports_offered_by_StatisticsSource_fixture</v>
      </c>
      <c r="C876" t="s">
        <v>256</v>
      </c>
      <c r="D876" t="str">
        <f>VLOOKUP(Table1[[#This Row],[Called Node]],Nodes!A:B,2,0)</f>
        <v>COUNTER_reports_offered_by_statistics_source</v>
      </c>
      <c r="E876" s="3" t="str">
        <f>Table1[[#This Row],[Calling Node]]&amp;" -&gt; "&amp;Table1[[#This Row],[Called Node]]</f>
        <v>reports_offered_by_StatisticsSource_fixture -&gt; COUNTER_reports_offered_by_statistics_source</v>
      </c>
      <c r="F876">
        <f>VLOOKUP(Table1[[#This Row],[Calling Node]],Nodes!A:D,4,0)</f>
        <v>39</v>
      </c>
      <c r="G876">
        <f>VLOOKUP(Table1[[#This Row],[Calling Node]],Nodes!A:E,5,0)</f>
        <v>6</v>
      </c>
      <c r="H876">
        <f>VLOOKUP(Table1[[#This Row],[Called Node]],Nodes!A:D,4,0)</f>
        <v>25</v>
      </c>
      <c r="I876">
        <f>VLOOKUP(Table1[[#This Row],[Called Node]],Nodes!A:E,5,0)</f>
        <v>42</v>
      </c>
    </row>
    <row r="877" spans="1:9" x14ac:dyDescent="0.3">
      <c r="A877" t="s">
        <v>420</v>
      </c>
      <c r="B877" t="str">
        <f>VLOOKUP(Table1[[#This Row],[Calling Node]],Nodes!A:B,2,0)</f>
        <v>reports_offered_by_StatisticsSource_fixture</v>
      </c>
      <c r="C877" t="s">
        <v>3</v>
      </c>
      <c r="D877" t="str">
        <f>VLOOKUP(Table1[[#This Row],[Called Node]],Nodes!A:B,2,0)</f>
        <v>StatisticsSources_fixture</v>
      </c>
      <c r="E877" s="3" t="str">
        <f>Table1[[#This Row],[Calling Node]]&amp;" -&gt; "&amp;Table1[[#This Row],[Called Node]]</f>
        <v>reports_offered_by_StatisticsSource_fixture -&gt; StatisticsSources_fixture</v>
      </c>
      <c r="F877">
        <f>VLOOKUP(Table1[[#This Row],[Calling Node]],Nodes!A:D,4,0)</f>
        <v>39</v>
      </c>
      <c r="G877">
        <f>VLOOKUP(Table1[[#This Row],[Calling Node]],Nodes!A:E,5,0)</f>
        <v>6</v>
      </c>
      <c r="H877">
        <f>VLOOKUP(Table1[[#This Row],[Called Node]],Nodes!A:D,4,0)</f>
        <v>39</v>
      </c>
      <c r="I877">
        <f>VLOOKUP(Table1[[#This Row],[Called Node]],Nodes!A:E,5,0)</f>
        <v>2</v>
      </c>
    </row>
    <row r="878" spans="1:9" x14ac:dyDescent="0.3">
      <c r="A878" t="s">
        <v>420</v>
      </c>
      <c r="B878" t="str">
        <f>VLOOKUP(Table1[[#This Row],[Calling Node]],Nodes!A:B,2,0)</f>
        <v>reports_offered_by_StatisticsSource_fixture</v>
      </c>
      <c r="C878" t="s">
        <v>419</v>
      </c>
      <c r="D878" s="2" t="str">
        <f>VLOOKUP(Table1[[#This Row],[Called Node]],Nodes!A:B,2,0)</f>
        <v>SUSHI_credentials_fixture</v>
      </c>
      <c r="E878" s="3" t="str">
        <f>Table1[[#This Row],[Calling Node]]&amp;" -&gt; "&amp;Table1[[#This Row],[Called Node]]</f>
        <v>reports_offered_by_StatisticsSource_fixture -&gt; SUSHI_credentials_fixture_in_test_StatisticsSources</v>
      </c>
      <c r="F878">
        <f>VLOOKUP(Table1[[#This Row],[Calling Node]],Nodes!A:D,4,0)</f>
        <v>39</v>
      </c>
      <c r="G878">
        <f>VLOOKUP(Table1[[#This Row],[Calling Node]],Nodes!A:E,5,0)</f>
        <v>6</v>
      </c>
      <c r="H878">
        <f>VLOOKUP(Table1[[#This Row],[Called Node]],Nodes!A:D,4,0)</f>
        <v>39</v>
      </c>
      <c r="I878">
        <f>VLOOKUP(Table1[[#This Row],[Called Node]],Nodes!A:E,5,0)</f>
        <v>5</v>
      </c>
    </row>
    <row r="879" spans="1:9" x14ac:dyDescent="0.3">
      <c r="A879" t="s">
        <v>421</v>
      </c>
      <c r="B879" t="str">
        <f>VLOOKUP(Table1[[#This Row],[Calling Node]],Nodes!A:B,2,0)</f>
        <v>test_COUNTER_reports_offered_by_statistics_source</v>
      </c>
      <c r="C879" t="s">
        <v>420</v>
      </c>
      <c r="D879" t="str">
        <f>VLOOKUP(Table1[[#This Row],[Called Node]],Nodes!A:B,2,0)</f>
        <v>reports_offered_by_StatisticsSource_fixture</v>
      </c>
      <c r="E879" s="3" t="str">
        <f>Table1[[#This Row],[Calling Node]]&amp;" -&gt; "&amp;Table1[[#This Row],[Called Node]]</f>
        <v>test_COUNTER_reports_offered_by_statistics_source -&gt; reports_offered_by_StatisticsSource_fixture</v>
      </c>
      <c r="F879">
        <f>VLOOKUP(Table1[[#This Row],[Calling Node]],Nodes!A:D,4,0)</f>
        <v>39</v>
      </c>
      <c r="G879">
        <f>VLOOKUP(Table1[[#This Row],[Calling Node]],Nodes!A:E,5,0)</f>
        <v>7</v>
      </c>
      <c r="H879">
        <f>VLOOKUP(Table1[[#This Row],[Called Node]],Nodes!A:D,4,0)</f>
        <v>39</v>
      </c>
      <c r="I879">
        <f>VLOOKUP(Table1[[#This Row],[Called Node]],Nodes!A:E,5,0)</f>
        <v>6</v>
      </c>
    </row>
    <row r="880" spans="1:9" x14ac:dyDescent="0.3">
      <c r="A880" t="s">
        <v>422</v>
      </c>
      <c r="B880" t="str">
        <f>VLOOKUP(Table1[[#This Row],[Calling Node]],Nodes!A:B,2,0)</f>
        <v>test_check_if_data_in_database_no</v>
      </c>
      <c r="C880" t="s">
        <v>34</v>
      </c>
      <c r="D880" t="str">
        <f>VLOOKUP(Table1[[#This Row],[Called Node]],Nodes!A:B,2,0)</f>
        <v>_check_if_data_in_database</v>
      </c>
      <c r="E880" s="3" t="str">
        <f>Table1[[#This Row],[Calling Node]]&amp;" -&gt; "&amp;Table1[[#This Row],[Called Node]]</f>
        <v>test_check_if_data_in_database_no -&gt; _check_if_data_in_database</v>
      </c>
      <c r="F880">
        <f>VLOOKUP(Table1[[#This Row],[Calling Node]],Nodes!A:D,4,0)</f>
        <v>39</v>
      </c>
      <c r="G880">
        <f>VLOOKUP(Table1[[#This Row],[Calling Node]],Nodes!A:E,5,0)</f>
        <v>8</v>
      </c>
      <c r="H880">
        <f>VLOOKUP(Table1[[#This Row],[Called Node]],Nodes!A:D,4,0)</f>
        <v>6</v>
      </c>
      <c r="I880">
        <f>VLOOKUP(Table1[[#This Row],[Called Node]],Nodes!A:E,5,0)</f>
        <v>5</v>
      </c>
    </row>
    <row r="881" spans="1:9" x14ac:dyDescent="0.3">
      <c r="A881" t="s">
        <v>422</v>
      </c>
      <c r="B881" t="str">
        <f>VLOOKUP(Table1[[#This Row],[Calling Node]],Nodes!A:B,2,0)</f>
        <v>test_check_if_data_in_database_no</v>
      </c>
      <c r="C881" t="s">
        <v>217</v>
      </c>
      <c r="D881" t="str">
        <f>VLOOKUP(Table1[[#This Row],[Called Node]],Nodes!A:B,2,0)</f>
        <v>client</v>
      </c>
      <c r="E881" s="3" t="str">
        <f>Table1[[#This Row],[Calling Node]]&amp;" -&gt; "&amp;Table1[[#This Row],[Called Node]]</f>
        <v>test_check_if_data_in_database_no -&gt; client</v>
      </c>
      <c r="F881">
        <f>VLOOKUP(Table1[[#This Row],[Calling Node]],Nodes!A:D,4,0)</f>
        <v>39</v>
      </c>
      <c r="G881">
        <f>VLOOKUP(Table1[[#This Row],[Calling Node]],Nodes!A:E,5,0)</f>
        <v>8</v>
      </c>
      <c r="H881">
        <f>VLOOKUP(Table1[[#This Row],[Called Node]],Nodes!A:D,4,0)</f>
        <v>25</v>
      </c>
      <c r="I881">
        <f>VLOOKUP(Table1[[#This Row],[Called Node]],Nodes!A:E,5,0)</f>
        <v>3</v>
      </c>
    </row>
    <row r="882" spans="1:9" x14ac:dyDescent="0.3">
      <c r="A882" t="s">
        <v>422</v>
      </c>
      <c r="B882" t="str">
        <f>VLOOKUP(Table1[[#This Row],[Calling Node]],Nodes!A:B,2,0)</f>
        <v>test_check_if_data_in_database_no</v>
      </c>
      <c r="C882" t="s">
        <v>254</v>
      </c>
      <c r="D882" t="str">
        <f>VLOOKUP(Table1[[#This Row],[Called Node]],Nodes!A:B,2,0)</f>
        <v>most_recent_month_with_usage</v>
      </c>
      <c r="E882" s="3" t="str">
        <f>Table1[[#This Row],[Calling Node]]&amp;" -&gt; "&amp;Table1[[#This Row],[Called Node]]</f>
        <v>test_check_if_data_in_database_no -&gt; most_recent_month_with_usage</v>
      </c>
      <c r="F882">
        <f>VLOOKUP(Table1[[#This Row],[Calling Node]],Nodes!A:D,4,0)</f>
        <v>39</v>
      </c>
      <c r="G882">
        <f>VLOOKUP(Table1[[#This Row],[Calling Node]],Nodes!A:E,5,0)</f>
        <v>8</v>
      </c>
      <c r="H882">
        <f>VLOOKUP(Table1[[#This Row],[Called Node]],Nodes!A:D,4,0)</f>
        <v>25</v>
      </c>
      <c r="I882">
        <f>VLOOKUP(Table1[[#This Row],[Called Node]],Nodes!A:E,5,0)</f>
        <v>40</v>
      </c>
    </row>
    <row r="883" spans="1:9" x14ac:dyDescent="0.3">
      <c r="A883" t="s">
        <v>422</v>
      </c>
      <c r="B883" t="str">
        <f>VLOOKUP(Table1[[#This Row],[Calling Node]],Nodes!A:B,2,0)</f>
        <v>test_check_if_data_in_database_no</v>
      </c>
      <c r="C883" t="s">
        <v>416</v>
      </c>
      <c r="D883" t="str">
        <f>VLOOKUP(Table1[[#This Row],[Called Node]],Nodes!A:B,2,0)</f>
        <v>current_month_like_most_recent_month_with_usage</v>
      </c>
      <c r="E883" s="3" t="str">
        <f>Table1[[#This Row],[Calling Node]]&amp;" -&gt; "&amp;Table1[[#This Row],[Called Node]]</f>
        <v>test_check_if_data_in_database_no -&gt; current_month_like_most_recent_month_with_usage</v>
      </c>
      <c r="F883">
        <f>VLOOKUP(Table1[[#This Row],[Calling Node]],Nodes!A:D,4,0)</f>
        <v>39</v>
      </c>
      <c r="G883">
        <f>VLOOKUP(Table1[[#This Row],[Calling Node]],Nodes!A:E,5,0)</f>
        <v>8</v>
      </c>
      <c r="H883">
        <f>VLOOKUP(Table1[[#This Row],[Called Node]],Nodes!A:D,4,0)</f>
        <v>39</v>
      </c>
      <c r="I883">
        <f>VLOOKUP(Table1[[#This Row],[Called Node]],Nodes!A:E,5,0)</f>
        <v>1</v>
      </c>
    </row>
    <row r="884" spans="1:9" x14ac:dyDescent="0.3">
      <c r="A884" t="s">
        <v>422</v>
      </c>
      <c r="B884" t="str">
        <f>VLOOKUP(Table1[[#This Row],[Calling Node]],Nodes!A:B,2,0)</f>
        <v>test_check_if_data_in_database_no</v>
      </c>
      <c r="C884" t="s">
        <v>3</v>
      </c>
      <c r="D884" t="str">
        <f>VLOOKUP(Table1[[#This Row],[Called Node]],Nodes!A:B,2,0)</f>
        <v>StatisticsSources_fixture</v>
      </c>
      <c r="E884" s="3" t="str">
        <f>Table1[[#This Row],[Calling Node]]&amp;" -&gt; "&amp;Table1[[#This Row],[Called Node]]</f>
        <v>test_check_if_data_in_database_no -&gt; StatisticsSources_fixture</v>
      </c>
      <c r="F884">
        <f>VLOOKUP(Table1[[#This Row],[Calling Node]],Nodes!A:D,4,0)</f>
        <v>39</v>
      </c>
      <c r="G884">
        <f>VLOOKUP(Table1[[#This Row],[Calling Node]],Nodes!A:E,5,0)</f>
        <v>8</v>
      </c>
      <c r="H884">
        <f>VLOOKUP(Table1[[#This Row],[Called Node]],Nodes!A:D,4,0)</f>
        <v>39</v>
      </c>
      <c r="I884">
        <f>VLOOKUP(Table1[[#This Row],[Called Node]],Nodes!A:E,5,0)</f>
        <v>2</v>
      </c>
    </row>
    <row r="885" spans="1:9" x14ac:dyDescent="0.3">
      <c r="A885" t="s">
        <v>422</v>
      </c>
      <c r="B885" t="str">
        <f>VLOOKUP(Table1[[#This Row],[Calling Node]],Nodes!A:B,2,0)</f>
        <v>test_check_if_data_in_database_no</v>
      </c>
      <c r="C885" t="s">
        <v>420</v>
      </c>
      <c r="D885" t="str">
        <f>VLOOKUP(Table1[[#This Row],[Called Node]],Nodes!A:B,2,0)</f>
        <v>reports_offered_by_StatisticsSource_fixture</v>
      </c>
      <c r="E885" s="3" t="str">
        <f>Table1[[#This Row],[Calling Node]]&amp;" -&gt; "&amp;Table1[[#This Row],[Called Node]]</f>
        <v>test_check_if_data_in_database_no -&gt; reports_offered_by_StatisticsSource_fixture</v>
      </c>
      <c r="F885">
        <f>VLOOKUP(Table1[[#This Row],[Calling Node]],Nodes!A:D,4,0)</f>
        <v>39</v>
      </c>
      <c r="G885">
        <f>VLOOKUP(Table1[[#This Row],[Calling Node]],Nodes!A:E,5,0)</f>
        <v>8</v>
      </c>
      <c r="H885">
        <f>VLOOKUP(Table1[[#This Row],[Called Node]],Nodes!A:D,4,0)</f>
        <v>39</v>
      </c>
      <c r="I885">
        <f>VLOOKUP(Table1[[#This Row],[Called Node]],Nodes!A:E,5,0)</f>
        <v>6</v>
      </c>
    </row>
    <row r="886" spans="1:9" x14ac:dyDescent="0.3">
      <c r="A886" t="s">
        <v>423</v>
      </c>
      <c r="B886" t="str">
        <f>VLOOKUP(Table1[[#This Row],[Calling Node]],Nodes!A:B,2,0)</f>
        <v>test_check_if_data_in_database_yes</v>
      </c>
      <c r="C886" t="s">
        <v>34</v>
      </c>
      <c r="D886" t="str">
        <f>VLOOKUP(Table1[[#This Row],[Called Node]],Nodes!A:B,2,0)</f>
        <v>_check_if_data_in_database</v>
      </c>
      <c r="E886" s="3" t="str">
        <f>Table1[[#This Row],[Calling Node]]&amp;" -&gt; "&amp;Table1[[#This Row],[Called Node]]</f>
        <v>test_check_if_data_in_database_yes -&gt; _check_if_data_in_database</v>
      </c>
      <c r="F886">
        <f>VLOOKUP(Table1[[#This Row],[Calling Node]],Nodes!A:D,4,0)</f>
        <v>39</v>
      </c>
      <c r="G886">
        <f>VLOOKUP(Table1[[#This Row],[Calling Node]],Nodes!A:E,5,0)</f>
        <v>9</v>
      </c>
      <c r="H886">
        <f>VLOOKUP(Table1[[#This Row],[Called Node]],Nodes!A:D,4,0)</f>
        <v>6</v>
      </c>
      <c r="I886">
        <f>VLOOKUP(Table1[[#This Row],[Called Node]],Nodes!A:E,5,0)</f>
        <v>5</v>
      </c>
    </row>
    <row r="887" spans="1:9" x14ac:dyDescent="0.3">
      <c r="A887" t="s">
        <v>423</v>
      </c>
      <c r="B887" t="str">
        <f>VLOOKUP(Table1[[#This Row],[Calling Node]],Nodes!A:B,2,0)</f>
        <v>test_check_if_data_in_database_yes</v>
      </c>
      <c r="C887" t="s">
        <v>217</v>
      </c>
      <c r="D887" t="str">
        <f>VLOOKUP(Table1[[#This Row],[Called Node]],Nodes!A:B,2,0)</f>
        <v>client</v>
      </c>
      <c r="E887" s="3" t="str">
        <f>Table1[[#This Row],[Calling Node]]&amp;" -&gt; "&amp;Table1[[#This Row],[Called Node]]</f>
        <v>test_check_if_data_in_database_yes -&gt; client</v>
      </c>
      <c r="F887">
        <f>VLOOKUP(Table1[[#This Row],[Calling Node]],Nodes!A:D,4,0)</f>
        <v>39</v>
      </c>
      <c r="G887">
        <f>VLOOKUP(Table1[[#This Row],[Calling Node]],Nodes!A:E,5,0)</f>
        <v>9</v>
      </c>
      <c r="H887">
        <f>VLOOKUP(Table1[[#This Row],[Called Node]],Nodes!A:D,4,0)</f>
        <v>25</v>
      </c>
      <c r="I887">
        <f>VLOOKUP(Table1[[#This Row],[Called Node]],Nodes!A:E,5,0)</f>
        <v>3</v>
      </c>
    </row>
    <row r="888" spans="1:9" x14ac:dyDescent="0.3">
      <c r="A888" t="s">
        <v>423</v>
      </c>
      <c r="B888" t="str">
        <f>VLOOKUP(Table1[[#This Row],[Calling Node]],Nodes!A:B,2,0)</f>
        <v>test_check_if_data_in_database_yes</v>
      </c>
      <c r="C888" t="s">
        <v>416</v>
      </c>
      <c r="D888" t="str">
        <f>VLOOKUP(Table1[[#This Row],[Called Node]],Nodes!A:B,2,0)</f>
        <v>current_month_like_most_recent_month_with_usage</v>
      </c>
      <c r="E888" s="3" t="str">
        <f>Table1[[#This Row],[Calling Node]]&amp;" -&gt; "&amp;Table1[[#This Row],[Called Node]]</f>
        <v>test_check_if_data_in_database_yes -&gt; current_month_like_most_recent_month_with_usage</v>
      </c>
      <c r="F888">
        <f>VLOOKUP(Table1[[#This Row],[Calling Node]],Nodes!A:D,4,0)</f>
        <v>39</v>
      </c>
      <c r="G888">
        <f>VLOOKUP(Table1[[#This Row],[Calling Node]],Nodes!A:E,5,0)</f>
        <v>9</v>
      </c>
      <c r="H888">
        <f>VLOOKUP(Table1[[#This Row],[Called Node]],Nodes!A:D,4,0)</f>
        <v>39</v>
      </c>
      <c r="I888">
        <f>VLOOKUP(Table1[[#This Row],[Called Node]],Nodes!A:E,5,0)</f>
        <v>1</v>
      </c>
    </row>
    <row r="889" spans="1:9" x14ac:dyDescent="0.3">
      <c r="A889" t="s">
        <v>423</v>
      </c>
      <c r="B889" t="str">
        <f>VLOOKUP(Table1[[#This Row],[Calling Node]],Nodes!A:B,2,0)</f>
        <v>test_check_if_data_in_database_yes</v>
      </c>
      <c r="C889" t="s">
        <v>3</v>
      </c>
      <c r="D889" t="str">
        <f>VLOOKUP(Table1[[#This Row],[Called Node]],Nodes!A:B,2,0)</f>
        <v>StatisticsSources_fixture</v>
      </c>
      <c r="E889" s="3" t="str">
        <f>Table1[[#This Row],[Calling Node]]&amp;" -&gt; "&amp;Table1[[#This Row],[Called Node]]</f>
        <v>test_check_if_data_in_database_yes -&gt; StatisticsSources_fixture</v>
      </c>
      <c r="F889">
        <f>VLOOKUP(Table1[[#This Row],[Calling Node]],Nodes!A:D,4,0)</f>
        <v>39</v>
      </c>
      <c r="G889">
        <f>VLOOKUP(Table1[[#This Row],[Calling Node]],Nodes!A:E,5,0)</f>
        <v>9</v>
      </c>
      <c r="H889">
        <f>VLOOKUP(Table1[[#This Row],[Called Node]],Nodes!A:D,4,0)</f>
        <v>39</v>
      </c>
      <c r="I889">
        <f>VLOOKUP(Table1[[#This Row],[Called Node]],Nodes!A:E,5,0)</f>
        <v>2</v>
      </c>
    </row>
    <row r="890" spans="1:9" x14ac:dyDescent="0.3">
      <c r="A890" t="s">
        <v>423</v>
      </c>
      <c r="B890" t="str">
        <f>VLOOKUP(Table1[[#This Row],[Calling Node]],Nodes!A:B,2,0)</f>
        <v>test_check_if_data_in_database_yes</v>
      </c>
      <c r="C890" t="s">
        <v>420</v>
      </c>
      <c r="D890" t="str">
        <f>VLOOKUP(Table1[[#This Row],[Called Node]],Nodes!A:B,2,0)</f>
        <v>reports_offered_by_StatisticsSource_fixture</v>
      </c>
      <c r="E890" s="3" t="str">
        <f>Table1[[#This Row],[Calling Node]]&amp;" -&gt; "&amp;Table1[[#This Row],[Called Node]]</f>
        <v>test_check_if_data_in_database_yes -&gt; reports_offered_by_StatisticsSource_fixture</v>
      </c>
      <c r="F890">
        <f>VLOOKUP(Table1[[#This Row],[Calling Node]],Nodes!A:D,4,0)</f>
        <v>39</v>
      </c>
      <c r="G890">
        <f>VLOOKUP(Table1[[#This Row],[Calling Node]],Nodes!A:E,5,0)</f>
        <v>9</v>
      </c>
      <c r="H890">
        <f>VLOOKUP(Table1[[#This Row],[Called Node]],Nodes!A:D,4,0)</f>
        <v>39</v>
      </c>
      <c r="I890">
        <f>VLOOKUP(Table1[[#This Row],[Called Node]],Nodes!A:E,5,0)</f>
        <v>6</v>
      </c>
    </row>
    <row r="891" spans="1:9" x14ac:dyDescent="0.3">
      <c r="A891" t="s">
        <v>424</v>
      </c>
      <c r="B891" t="str">
        <f>VLOOKUP(Table1[[#This Row],[Calling Node]],Nodes!A:B,2,0)</f>
        <v>test_harvest_single_report</v>
      </c>
      <c r="C891" t="s">
        <v>33</v>
      </c>
      <c r="D891" t="str">
        <f>VLOOKUP(Table1[[#This Row],[Called Node]],Nodes!A:B,2,0)</f>
        <v>_harvest_single_report</v>
      </c>
      <c r="E891" s="3" t="str">
        <f>Table1[[#This Row],[Calling Node]]&amp;" -&gt; "&amp;Table1[[#This Row],[Called Node]]</f>
        <v>test_harvest_single_report -&gt; _harvest_single_report</v>
      </c>
      <c r="F891">
        <f>VLOOKUP(Table1[[#This Row],[Calling Node]],Nodes!A:D,4,0)</f>
        <v>39</v>
      </c>
      <c r="G891">
        <f>VLOOKUP(Table1[[#This Row],[Calling Node]],Nodes!A:E,5,0)</f>
        <v>10</v>
      </c>
      <c r="H891">
        <f>VLOOKUP(Table1[[#This Row],[Called Node]],Nodes!A:D,4,0)</f>
        <v>6</v>
      </c>
      <c r="I891">
        <f>VLOOKUP(Table1[[#This Row],[Called Node]],Nodes!A:E,5,0)</f>
        <v>4</v>
      </c>
    </row>
    <row r="892" spans="1:9" x14ac:dyDescent="0.3">
      <c r="A892" t="s">
        <v>424</v>
      </c>
      <c r="B892" t="str">
        <f>VLOOKUP(Table1[[#This Row],[Calling Node]],Nodes!A:B,2,0)</f>
        <v>test_harvest_single_report</v>
      </c>
      <c r="C892" t="s">
        <v>115</v>
      </c>
      <c r="D892" t="str">
        <f>VLOOKUP(Table1[[#This Row],[Called Node]],Nodes!A:B,2,0)</f>
        <v>last_day_of_month</v>
      </c>
      <c r="E892" s="3" t="str">
        <f>Table1[[#This Row],[Calling Node]]&amp;" -&gt; "&amp;Table1[[#This Row],[Called Node]]</f>
        <v>test_harvest_single_report -&gt; last_day_of_month</v>
      </c>
      <c r="F892">
        <f>VLOOKUP(Table1[[#This Row],[Calling Node]],Nodes!A:D,4,0)</f>
        <v>39</v>
      </c>
      <c r="G892">
        <f>VLOOKUP(Table1[[#This Row],[Calling Node]],Nodes!A:E,5,0)</f>
        <v>10</v>
      </c>
      <c r="H892">
        <f>VLOOKUP(Table1[[#This Row],[Called Node]],Nodes!A:D,4,0)</f>
        <v>22</v>
      </c>
      <c r="I892">
        <f>VLOOKUP(Table1[[#This Row],[Called Node]],Nodes!A:E,5,0)</f>
        <v>9</v>
      </c>
    </row>
    <row r="893" spans="1:9" x14ac:dyDescent="0.3">
      <c r="A893" t="s">
        <v>424</v>
      </c>
      <c r="B893" t="str">
        <f>VLOOKUP(Table1[[#This Row],[Calling Node]],Nodes!A:B,2,0)</f>
        <v>test_harvest_single_report</v>
      </c>
      <c r="C893" t="s">
        <v>155</v>
      </c>
      <c r="D893" t="str">
        <f>VLOOKUP(Table1[[#This Row],[Called Node]],Nodes!A:B,2,0)</f>
        <v>database_function_skip_statements</v>
      </c>
      <c r="E893" s="3" t="str">
        <f>Table1[[#This Row],[Calling Node]]&amp;" -&gt; "&amp;Table1[[#This Row],[Called Node]]</f>
        <v>test_harvest_single_report -&gt; database_function_skip_statements</v>
      </c>
      <c r="F893">
        <f>VLOOKUP(Table1[[#This Row],[Calling Node]],Nodes!A:D,4,0)</f>
        <v>39</v>
      </c>
      <c r="G893">
        <f>VLOOKUP(Table1[[#This Row],[Calling Node]],Nodes!A:E,5,0)</f>
        <v>10</v>
      </c>
      <c r="H893">
        <f>VLOOKUP(Table1[[#This Row],[Called Node]],Nodes!A:D,4,0)</f>
        <v>23</v>
      </c>
      <c r="I893">
        <f>VLOOKUP(Table1[[#This Row],[Called Node]],Nodes!A:E,5,0)</f>
        <v>21</v>
      </c>
    </row>
    <row r="894" spans="1:9" x14ac:dyDescent="0.3">
      <c r="A894" t="s">
        <v>424</v>
      </c>
      <c r="B894" t="str">
        <f>VLOOKUP(Table1[[#This Row],[Calling Node]],Nodes!A:B,2,0)</f>
        <v>test_harvest_single_report</v>
      </c>
      <c r="C894" t="s">
        <v>163</v>
      </c>
      <c r="D894" t="str">
        <f>VLOOKUP(Table1[[#This Row],[Called Node]],Nodes!A:B,2,0)</f>
        <v>reports_with_no_usage_regex</v>
      </c>
      <c r="E894" s="3" t="str">
        <f>Table1[[#This Row],[Calling Node]]&amp;" -&gt; "&amp;Table1[[#This Row],[Called Node]]</f>
        <v>test_harvest_single_report -&gt; reports_with_no_usage_regex</v>
      </c>
      <c r="F894">
        <f>VLOOKUP(Table1[[#This Row],[Calling Node]],Nodes!A:D,4,0)</f>
        <v>39</v>
      </c>
      <c r="G894">
        <f>VLOOKUP(Table1[[#This Row],[Calling Node]],Nodes!A:E,5,0)</f>
        <v>10</v>
      </c>
      <c r="H894">
        <f>VLOOKUP(Table1[[#This Row],[Called Node]],Nodes!A:D,4,0)</f>
        <v>23</v>
      </c>
      <c r="I894">
        <f>VLOOKUP(Table1[[#This Row],[Called Node]],Nodes!A:E,5,0)</f>
        <v>29</v>
      </c>
    </row>
    <row r="895" spans="1:9" x14ac:dyDescent="0.3">
      <c r="A895" t="s">
        <v>424</v>
      </c>
      <c r="B895" t="str">
        <f>VLOOKUP(Table1[[#This Row],[Calling Node]],Nodes!A:B,2,0)</f>
        <v>test_harvest_single_report</v>
      </c>
      <c r="C895" t="s">
        <v>164</v>
      </c>
      <c r="D895" t="str">
        <f>VLOOKUP(Table1[[#This Row],[Called Node]],Nodes!A:B,2,0)</f>
        <v>skip_test_due_to_SUSHI_error_regex</v>
      </c>
      <c r="E895" s="3" t="str">
        <f>Table1[[#This Row],[Calling Node]]&amp;" -&gt; "&amp;Table1[[#This Row],[Called Node]]</f>
        <v>test_harvest_single_report -&gt; skip_test_due_to_SUSHI_error_regex</v>
      </c>
      <c r="F895">
        <f>VLOOKUP(Table1[[#This Row],[Calling Node]],Nodes!A:D,4,0)</f>
        <v>39</v>
      </c>
      <c r="G895">
        <f>VLOOKUP(Table1[[#This Row],[Calling Node]],Nodes!A:E,5,0)</f>
        <v>10</v>
      </c>
      <c r="H895">
        <f>VLOOKUP(Table1[[#This Row],[Called Node]],Nodes!A:D,4,0)</f>
        <v>23</v>
      </c>
      <c r="I895">
        <f>VLOOKUP(Table1[[#This Row],[Called Node]],Nodes!A:E,5,0)</f>
        <v>30</v>
      </c>
    </row>
    <row r="896" spans="1:9" x14ac:dyDescent="0.3">
      <c r="A896" t="s">
        <v>424</v>
      </c>
      <c r="B896" t="str">
        <f>VLOOKUP(Table1[[#This Row],[Calling Node]],Nodes!A:B,2,0)</f>
        <v>test_harvest_single_report</v>
      </c>
      <c r="C896" t="s">
        <v>217</v>
      </c>
      <c r="D896" t="str">
        <f>VLOOKUP(Table1[[#This Row],[Called Node]],Nodes!A:B,2,0)</f>
        <v>client</v>
      </c>
      <c r="E896" s="3" t="str">
        <f>Table1[[#This Row],[Calling Node]]&amp;" -&gt; "&amp;Table1[[#This Row],[Called Node]]</f>
        <v>test_harvest_single_report -&gt; client</v>
      </c>
      <c r="F896">
        <f>VLOOKUP(Table1[[#This Row],[Calling Node]],Nodes!A:D,4,0)</f>
        <v>39</v>
      </c>
      <c r="G896">
        <f>VLOOKUP(Table1[[#This Row],[Calling Node]],Nodes!A:E,5,0)</f>
        <v>10</v>
      </c>
      <c r="H896">
        <f>VLOOKUP(Table1[[#This Row],[Called Node]],Nodes!A:D,4,0)</f>
        <v>25</v>
      </c>
      <c r="I896">
        <f>VLOOKUP(Table1[[#This Row],[Called Node]],Nodes!A:E,5,0)</f>
        <v>3</v>
      </c>
    </row>
    <row r="897" spans="1:9" x14ac:dyDescent="0.3">
      <c r="A897" t="s">
        <v>424</v>
      </c>
      <c r="B897" t="str">
        <f>VLOOKUP(Table1[[#This Row],[Calling Node]],Nodes!A:B,2,0)</f>
        <v>test_harvest_single_report</v>
      </c>
      <c r="C897" t="s">
        <v>254</v>
      </c>
      <c r="D897" t="str">
        <f>VLOOKUP(Table1[[#This Row],[Called Node]],Nodes!A:B,2,0)</f>
        <v>most_recent_month_with_usage</v>
      </c>
      <c r="E897" s="3" t="str">
        <f>Table1[[#This Row],[Calling Node]]&amp;" -&gt; "&amp;Table1[[#This Row],[Called Node]]</f>
        <v>test_harvest_single_report -&gt; most_recent_month_with_usage</v>
      </c>
      <c r="F897">
        <f>VLOOKUP(Table1[[#This Row],[Calling Node]],Nodes!A:D,4,0)</f>
        <v>39</v>
      </c>
      <c r="G897">
        <f>VLOOKUP(Table1[[#This Row],[Calling Node]],Nodes!A:E,5,0)</f>
        <v>10</v>
      </c>
      <c r="H897">
        <f>VLOOKUP(Table1[[#This Row],[Called Node]],Nodes!A:D,4,0)</f>
        <v>25</v>
      </c>
      <c r="I897">
        <f>VLOOKUP(Table1[[#This Row],[Called Node]],Nodes!A:E,5,0)</f>
        <v>40</v>
      </c>
    </row>
    <row r="898" spans="1:9" x14ac:dyDescent="0.3">
      <c r="A898" t="s">
        <v>424</v>
      </c>
      <c r="B898" t="str">
        <f>VLOOKUP(Table1[[#This Row],[Calling Node]],Nodes!A:B,2,0)</f>
        <v>test_harvest_single_report</v>
      </c>
      <c r="C898" t="s">
        <v>3</v>
      </c>
      <c r="D898" t="str">
        <f>VLOOKUP(Table1[[#This Row],[Called Node]],Nodes!A:B,2,0)</f>
        <v>StatisticsSources_fixture</v>
      </c>
      <c r="E898" s="3" t="str">
        <f>Table1[[#This Row],[Calling Node]]&amp;" -&gt; "&amp;Table1[[#This Row],[Called Node]]</f>
        <v>test_harvest_single_report -&gt; StatisticsSources_fixture</v>
      </c>
      <c r="F898">
        <f>VLOOKUP(Table1[[#This Row],[Calling Node]],Nodes!A:D,4,0)</f>
        <v>39</v>
      </c>
      <c r="G898">
        <f>VLOOKUP(Table1[[#This Row],[Calling Node]],Nodes!A:E,5,0)</f>
        <v>10</v>
      </c>
      <c r="H898">
        <f>VLOOKUP(Table1[[#This Row],[Called Node]],Nodes!A:D,4,0)</f>
        <v>39</v>
      </c>
      <c r="I898">
        <f>VLOOKUP(Table1[[#This Row],[Called Node]],Nodes!A:E,5,0)</f>
        <v>2</v>
      </c>
    </row>
    <row r="899" spans="1:9" x14ac:dyDescent="0.3">
      <c r="A899" t="s">
        <v>424</v>
      </c>
      <c r="B899" t="str">
        <f>VLOOKUP(Table1[[#This Row],[Calling Node]],Nodes!A:B,2,0)</f>
        <v>test_harvest_single_report</v>
      </c>
      <c r="C899" t="s">
        <v>419</v>
      </c>
      <c r="D899" s="2" t="str">
        <f>VLOOKUP(Table1[[#This Row],[Called Node]],Nodes!A:B,2,0)</f>
        <v>SUSHI_credentials_fixture</v>
      </c>
      <c r="E899" s="3" t="str">
        <f>Table1[[#This Row],[Calling Node]]&amp;" -&gt; "&amp;Table1[[#This Row],[Called Node]]</f>
        <v>test_harvest_single_report -&gt; SUSHI_credentials_fixture_in_test_StatisticsSources</v>
      </c>
      <c r="F899">
        <f>VLOOKUP(Table1[[#This Row],[Calling Node]],Nodes!A:D,4,0)</f>
        <v>39</v>
      </c>
      <c r="G899">
        <f>VLOOKUP(Table1[[#This Row],[Calling Node]],Nodes!A:E,5,0)</f>
        <v>10</v>
      </c>
      <c r="H899">
        <f>VLOOKUP(Table1[[#This Row],[Called Node]],Nodes!A:D,4,0)</f>
        <v>39</v>
      </c>
      <c r="I899">
        <f>VLOOKUP(Table1[[#This Row],[Called Node]],Nodes!A:E,5,0)</f>
        <v>5</v>
      </c>
    </row>
    <row r="900" spans="1:9" x14ac:dyDescent="0.3">
      <c r="A900" t="s">
        <v>424</v>
      </c>
      <c r="B900" t="str">
        <f>VLOOKUP(Table1[[#This Row],[Calling Node]],Nodes!A:B,2,0)</f>
        <v>test_harvest_single_report</v>
      </c>
      <c r="C900" t="s">
        <v>420</v>
      </c>
      <c r="D900" t="str">
        <f>VLOOKUP(Table1[[#This Row],[Called Node]],Nodes!A:B,2,0)</f>
        <v>reports_offered_by_StatisticsSource_fixture</v>
      </c>
      <c r="E900" s="3" t="str">
        <f>Table1[[#This Row],[Calling Node]]&amp;" -&gt; "&amp;Table1[[#This Row],[Called Node]]</f>
        <v>test_harvest_single_report -&gt; reports_offered_by_StatisticsSource_fixture</v>
      </c>
      <c r="F900">
        <f>VLOOKUP(Table1[[#This Row],[Calling Node]],Nodes!A:D,4,0)</f>
        <v>39</v>
      </c>
      <c r="G900">
        <f>VLOOKUP(Table1[[#This Row],[Calling Node]],Nodes!A:E,5,0)</f>
        <v>10</v>
      </c>
      <c r="H900">
        <f>VLOOKUP(Table1[[#This Row],[Called Node]],Nodes!A:D,4,0)</f>
        <v>39</v>
      </c>
      <c r="I900">
        <f>VLOOKUP(Table1[[#This Row],[Called Node]],Nodes!A:E,5,0)</f>
        <v>6</v>
      </c>
    </row>
    <row r="901" spans="1:9" x14ac:dyDescent="0.3">
      <c r="A901" t="s">
        <v>425</v>
      </c>
      <c r="B901" t="str">
        <f>VLOOKUP(Table1[[#This Row],[Calling Node]],Nodes!A:B,2,0)</f>
        <v>test_harvest_single_report_with_partial_date_range</v>
      </c>
      <c r="C901" t="s">
        <v>33</v>
      </c>
      <c r="D901" t="str">
        <f>VLOOKUP(Table1[[#This Row],[Called Node]],Nodes!A:B,2,0)</f>
        <v>_harvest_single_report</v>
      </c>
      <c r="E901" s="3" t="str">
        <f>Table1[[#This Row],[Calling Node]]&amp;" -&gt; "&amp;Table1[[#This Row],[Called Node]]</f>
        <v>test_harvest_single_report_with_partial_date_range -&gt; _harvest_single_report</v>
      </c>
      <c r="F901">
        <f>VLOOKUP(Table1[[#This Row],[Calling Node]],Nodes!A:D,4,0)</f>
        <v>39</v>
      </c>
      <c r="G901">
        <f>VLOOKUP(Table1[[#This Row],[Calling Node]],Nodes!A:E,5,0)</f>
        <v>11</v>
      </c>
      <c r="H901">
        <f>VLOOKUP(Table1[[#This Row],[Called Node]],Nodes!A:D,4,0)</f>
        <v>6</v>
      </c>
      <c r="I901">
        <f>VLOOKUP(Table1[[#This Row],[Called Node]],Nodes!A:E,5,0)</f>
        <v>4</v>
      </c>
    </row>
    <row r="902" spans="1:9" x14ac:dyDescent="0.3">
      <c r="A902" t="s">
        <v>425</v>
      </c>
      <c r="B902" t="str">
        <f>VLOOKUP(Table1[[#This Row],[Calling Node]],Nodes!A:B,2,0)</f>
        <v>test_harvest_single_report_with_partial_date_range</v>
      </c>
      <c r="C902" t="s">
        <v>155</v>
      </c>
      <c r="D902" t="str">
        <f>VLOOKUP(Table1[[#This Row],[Called Node]],Nodes!A:B,2,0)</f>
        <v>database_function_skip_statements</v>
      </c>
      <c r="E902" s="3" t="str">
        <f>Table1[[#This Row],[Calling Node]]&amp;" -&gt; "&amp;Table1[[#This Row],[Called Node]]</f>
        <v>test_harvest_single_report_with_partial_date_range -&gt; database_function_skip_statements</v>
      </c>
      <c r="F902">
        <f>VLOOKUP(Table1[[#This Row],[Calling Node]],Nodes!A:D,4,0)</f>
        <v>39</v>
      </c>
      <c r="G902">
        <f>VLOOKUP(Table1[[#This Row],[Calling Node]],Nodes!A:E,5,0)</f>
        <v>11</v>
      </c>
      <c r="H902">
        <f>VLOOKUP(Table1[[#This Row],[Called Node]],Nodes!A:D,4,0)</f>
        <v>23</v>
      </c>
      <c r="I902">
        <f>VLOOKUP(Table1[[#This Row],[Called Node]],Nodes!A:E,5,0)</f>
        <v>21</v>
      </c>
    </row>
    <row r="903" spans="1:9" x14ac:dyDescent="0.3">
      <c r="A903" t="s">
        <v>425</v>
      </c>
      <c r="B903" t="str">
        <f>VLOOKUP(Table1[[#This Row],[Calling Node]],Nodes!A:B,2,0)</f>
        <v>test_harvest_single_report_with_partial_date_range</v>
      </c>
      <c r="C903" t="s">
        <v>163</v>
      </c>
      <c r="D903" t="str">
        <f>VLOOKUP(Table1[[#This Row],[Called Node]],Nodes!A:B,2,0)</f>
        <v>reports_with_no_usage_regex</v>
      </c>
      <c r="E903" s="3" t="str">
        <f>Table1[[#This Row],[Calling Node]]&amp;" -&gt; "&amp;Table1[[#This Row],[Called Node]]</f>
        <v>test_harvest_single_report_with_partial_date_range -&gt; reports_with_no_usage_regex</v>
      </c>
      <c r="F903">
        <f>VLOOKUP(Table1[[#This Row],[Calling Node]],Nodes!A:D,4,0)</f>
        <v>39</v>
      </c>
      <c r="G903">
        <f>VLOOKUP(Table1[[#This Row],[Calling Node]],Nodes!A:E,5,0)</f>
        <v>11</v>
      </c>
      <c r="H903">
        <f>VLOOKUP(Table1[[#This Row],[Called Node]],Nodes!A:D,4,0)</f>
        <v>23</v>
      </c>
      <c r="I903">
        <f>VLOOKUP(Table1[[#This Row],[Called Node]],Nodes!A:E,5,0)</f>
        <v>29</v>
      </c>
    </row>
    <row r="904" spans="1:9" x14ac:dyDescent="0.3">
      <c r="A904" t="s">
        <v>425</v>
      </c>
      <c r="B904" t="str">
        <f>VLOOKUP(Table1[[#This Row],[Calling Node]],Nodes!A:B,2,0)</f>
        <v>test_harvest_single_report_with_partial_date_range</v>
      </c>
      <c r="C904" t="s">
        <v>164</v>
      </c>
      <c r="D904" t="str">
        <f>VLOOKUP(Table1[[#This Row],[Called Node]],Nodes!A:B,2,0)</f>
        <v>skip_test_due_to_SUSHI_error_regex</v>
      </c>
      <c r="E904" s="3" t="str">
        <f>Table1[[#This Row],[Calling Node]]&amp;" -&gt; "&amp;Table1[[#This Row],[Called Node]]</f>
        <v>test_harvest_single_report_with_partial_date_range -&gt; skip_test_due_to_SUSHI_error_regex</v>
      </c>
      <c r="F904">
        <f>VLOOKUP(Table1[[#This Row],[Calling Node]],Nodes!A:D,4,0)</f>
        <v>39</v>
      </c>
      <c r="G904">
        <f>VLOOKUP(Table1[[#This Row],[Calling Node]],Nodes!A:E,5,0)</f>
        <v>11</v>
      </c>
      <c r="H904">
        <f>VLOOKUP(Table1[[#This Row],[Called Node]],Nodes!A:D,4,0)</f>
        <v>23</v>
      </c>
      <c r="I904">
        <f>VLOOKUP(Table1[[#This Row],[Called Node]],Nodes!A:E,5,0)</f>
        <v>30</v>
      </c>
    </row>
    <row r="905" spans="1:9" x14ac:dyDescent="0.3">
      <c r="A905" t="s">
        <v>425</v>
      </c>
      <c r="B905" t="str">
        <f>VLOOKUP(Table1[[#This Row],[Calling Node]],Nodes!A:B,2,0)</f>
        <v>test_harvest_single_report_with_partial_date_range</v>
      </c>
      <c r="C905" t="s">
        <v>217</v>
      </c>
      <c r="D905" t="str">
        <f>VLOOKUP(Table1[[#This Row],[Called Node]],Nodes!A:B,2,0)</f>
        <v>client</v>
      </c>
      <c r="E905" s="3" t="str">
        <f>Table1[[#This Row],[Calling Node]]&amp;" -&gt; "&amp;Table1[[#This Row],[Called Node]]</f>
        <v>test_harvest_single_report_with_partial_date_range -&gt; client</v>
      </c>
      <c r="F905">
        <f>VLOOKUP(Table1[[#This Row],[Calling Node]],Nodes!A:D,4,0)</f>
        <v>39</v>
      </c>
      <c r="G905">
        <f>VLOOKUP(Table1[[#This Row],[Calling Node]],Nodes!A:E,5,0)</f>
        <v>11</v>
      </c>
      <c r="H905">
        <f>VLOOKUP(Table1[[#This Row],[Called Node]],Nodes!A:D,4,0)</f>
        <v>25</v>
      </c>
      <c r="I905">
        <f>VLOOKUP(Table1[[#This Row],[Called Node]],Nodes!A:E,5,0)</f>
        <v>3</v>
      </c>
    </row>
    <row r="906" spans="1:9" x14ac:dyDescent="0.3">
      <c r="A906" t="s">
        <v>425</v>
      </c>
      <c r="B906" t="str">
        <f>VLOOKUP(Table1[[#This Row],[Calling Node]],Nodes!A:B,2,0)</f>
        <v>test_harvest_single_report_with_partial_date_range</v>
      </c>
      <c r="C906" t="s">
        <v>3</v>
      </c>
      <c r="D906" t="str">
        <f>VLOOKUP(Table1[[#This Row],[Called Node]],Nodes!A:B,2,0)</f>
        <v>StatisticsSources_fixture</v>
      </c>
      <c r="E906" s="3" t="str">
        <f>Table1[[#This Row],[Calling Node]]&amp;" -&gt; "&amp;Table1[[#This Row],[Called Node]]</f>
        <v>test_harvest_single_report_with_partial_date_range -&gt; StatisticsSources_fixture</v>
      </c>
      <c r="F906">
        <f>VLOOKUP(Table1[[#This Row],[Calling Node]],Nodes!A:D,4,0)</f>
        <v>39</v>
      </c>
      <c r="G906">
        <f>VLOOKUP(Table1[[#This Row],[Calling Node]],Nodes!A:E,5,0)</f>
        <v>11</v>
      </c>
      <c r="H906">
        <f>VLOOKUP(Table1[[#This Row],[Called Node]],Nodes!A:D,4,0)</f>
        <v>39</v>
      </c>
      <c r="I906">
        <f>VLOOKUP(Table1[[#This Row],[Called Node]],Nodes!A:E,5,0)</f>
        <v>2</v>
      </c>
    </row>
    <row r="907" spans="1:9" x14ac:dyDescent="0.3">
      <c r="A907" t="s">
        <v>425</v>
      </c>
      <c r="B907" t="str">
        <f>VLOOKUP(Table1[[#This Row],[Calling Node]],Nodes!A:B,2,0)</f>
        <v>test_harvest_single_report_with_partial_date_range</v>
      </c>
      <c r="C907" t="s">
        <v>419</v>
      </c>
      <c r="D907" s="2" t="str">
        <f>VLOOKUP(Table1[[#This Row],[Called Node]],Nodes!A:B,2,0)</f>
        <v>SUSHI_credentials_fixture</v>
      </c>
      <c r="E907" s="3" t="str">
        <f>Table1[[#This Row],[Calling Node]]&amp;" -&gt; "&amp;Table1[[#This Row],[Called Node]]</f>
        <v>test_harvest_single_report_with_partial_date_range -&gt; SUSHI_credentials_fixture_in_test_StatisticsSources</v>
      </c>
      <c r="F907">
        <f>VLOOKUP(Table1[[#This Row],[Calling Node]],Nodes!A:D,4,0)</f>
        <v>39</v>
      </c>
      <c r="G907">
        <f>VLOOKUP(Table1[[#This Row],[Calling Node]],Nodes!A:E,5,0)</f>
        <v>11</v>
      </c>
      <c r="H907">
        <f>VLOOKUP(Table1[[#This Row],[Called Node]],Nodes!A:D,4,0)</f>
        <v>39</v>
      </c>
      <c r="I907">
        <f>VLOOKUP(Table1[[#This Row],[Called Node]],Nodes!A:E,5,0)</f>
        <v>5</v>
      </c>
    </row>
    <row r="908" spans="1:9" x14ac:dyDescent="0.3">
      <c r="A908" t="s">
        <v>425</v>
      </c>
      <c r="B908" t="str">
        <f>VLOOKUP(Table1[[#This Row],[Calling Node]],Nodes!A:B,2,0)</f>
        <v>test_harvest_single_report_with_partial_date_range</v>
      </c>
      <c r="C908" t="s">
        <v>420</v>
      </c>
      <c r="D908" t="str">
        <f>VLOOKUP(Table1[[#This Row],[Called Node]],Nodes!A:B,2,0)</f>
        <v>reports_offered_by_StatisticsSource_fixture</v>
      </c>
      <c r="E908" s="3" t="str">
        <f>Table1[[#This Row],[Calling Node]]&amp;" -&gt; "&amp;Table1[[#This Row],[Called Node]]</f>
        <v>test_harvest_single_report_with_partial_date_range -&gt; reports_offered_by_StatisticsSource_fixture</v>
      </c>
      <c r="F908">
        <f>VLOOKUP(Table1[[#This Row],[Calling Node]],Nodes!A:D,4,0)</f>
        <v>39</v>
      </c>
      <c r="G908">
        <f>VLOOKUP(Table1[[#This Row],[Calling Node]],Nodes!A:E,5,0)</f>
        <v>11</v>
      </c>
      <c r="H908">
        <f>VLOOKUP(Table1[[#This Row],[Called Node]],Nodes!A:D,4,0)</f>
        <v>39</v>
      </c>
      <c r="I908">
        <f>VLOOKUP(Table1[[#This Row],[Called Node]],Nodes!A:E,5,0)</f>
        <v>6</v>
      </c>
    </row>
    <row r="909" spans="1:9" x14ac:dyDescent="0.3">
      <c r="A909" t="s">
        <v>426</v>
      </c>
      <c r="B909" t="str">
        <f>VLOOKUP(Table1[[#This Row],[Calling Node]],Nodes!A:B,2,0)</f>
        <v>test_harvest_R5_SUSHI</v>
      </c>
      <c r="C909" t="s">
        <v>32</v>
      </c>
      <c r="D909" t="str">
        <f>VLOOKUP(Table1[[#This Row],[Called Node]],Nodes!A:B,2,0)</f>
        <v>_harvest_R5_SUSHI</v>
      </c>
      <c r="E909" s="3" t="str">
        <f>Table1[[#This Row],[Calling Node]]&amp;" -&gt; "&amp;Table1[[#This Row],[Called Node]]</f>
        <v>test_harvest_R5_SUSHI -&gt; _harvest_R5_SUSHI</v>
      </c>
      <c r="F909">
        <f>VLOOKUP(Table1[[#This Row],[Calling Node]],Nodes!A:D,4,0)</f>
        <v>39</v>
      </c>
      <c r="G909">
        <f>VLOOKUP(Table1[[#This Row],[Calling Node]],Nodes!A:E,5,0)</f>
        <v>12</v>
      </c>
      <c r="H909">
        <f>VLOOKUP(Table1[[#This Row],[Called Node]],Nodes!A:D,4,0)</f>
        <v>6</v>
      </c>
      <c r="I909">
        <f>VLOOKUP(Table1[[#This Row],[Called Node]],Nodes!A:E,5,0)</f>
        <v>3</v>
      </c>
    </row>
    <row r="910" spans="1:9" x14ac:dyDescent="0.3">
      <c r="A910" t="s">
        <v>426</v>
      </c>
      <c r="B910" t="str">
        <f>VLOOKUP(Table1[[#This Row],[Calling Node]],Nodes!A:B,2,0)</f>
        <v>test_harvest_R5_SUSHI</v>
      </c>
      <c r="C910" t="s">
        <v>217</v>
      </c>
      <c r="D910" t="str">
        <f>VLOOKUP(Table1[[#This Row],[Called Node]],Nodes!A:B,2,0)</f>
        <v>client</v>
      </c>
      <c r="E910" s="3" t="str">
        <f>Table1[[#This Row],[Calling Node]]&amp;" -&gt; "&amp;Table1[[#This Row],[Called Node]]</f>
        <v>test_harvest_R5_SUSHI -&gt; client</v>
      </c>
      <c r="F910">
        <f>VLOOKUP(Table1[[#This Row],[Calling Node]],Nodes!A:D,4,0)</f>
        <v>39</v>
      </c>
      <c r="G910">
        <f>VLOOKUP(Table1[[#This Row],[Calling Node]],Nodes!A:E,5,0)</f>
        <v>12</v>
      </c>
      <c r="H910">
        <f>VLOOKUP(Table1[[#This Row],[Called Node]],Nodes!A:D,4,0)</f>
        <v>25</v>
      </c>
      <c r="I910">
        <f>VLOOKUP(Table1[[#This Row],[Called Node]],Nodes!A:E,5,0)</f>
        <v>3</v>
      </c>
    </row>
    <row r="911" spans="1:9" x14ac:dyDescent="0.3">
      <c r="A911" t="s">
        <v>426</v>
      </c>
      <c r="B911" t="str">
        <f>VLOOKUP(Table1[[#This Row],[Calling Node]],Nodes!A:B,2,0)</f>
        <v>test_harvest_R5_SUSHI</v>
      </c>
      <c r="C911" t="s">
        <v>254</v>
      </c>
      <c r="D911" t="str">
        <f>VLOOKUP(Table1[[#This Row],[Called Node]],Nodes!A:B,2,0)</f>
        <v>most_recent_month_with_usage</v>
      </c>
      <c r="E911" s="3" t="str">
        <f>Table1[[#This Row],[Calling Node]]&amp;" -&gt; "&amp;Table1[[#This Row],[Called Node]]</f>
        <v>test_harvest_R5_SUSHI -&gt; most_recent_month_with_usage</v>
      </c>
      <c r="F911">
        <f>VLOOKUP(Table1[[#This Row],[Calling Node]],Nodes!A:D,4,0)</f>
        <v>39</v>
      </c>
      <c r="G911">
        <f>VLOOKUP(Table1[[#This Row],[Calling Node]],Nodes!A:E,5,0)</f>
        <v>12</v>
      </c>
      <c r="H911">
        <f>VLOOKUP(Table1[[#This Row],[Called Node]],Nodes!A:D,4,0)</f>
        <v>25</v>
      </c>
      <c r="I911">
        <f>VLOOKUP(Table1[[#This Row],[Called Node]],Nodes!A:E,5,0)</f>
        <v>40</v>
      </c>
    </row>
    <row r="912" spans="1:9" x14ac:dyDescent="0.3">
      <c r="A912" t="s">
        <v>426</v>
      </c>
      <c r="B912" t="str">
        <f>VLOOKUP(Table1[[#This Row],[Calling Node]],Nodes!A:B,2,0)</f>
        <v>test_harvest_R5_SUSHI</v>
      </c>
      <c r="C912" t="s">
        <v>3</v>
      </c>
      <c r="D912" t="str">
        <f>VLOOKUP(Table1[[#This Row],[Called Node]],Nodes!A:B,2,0)</f>
        <v>StatisticsSources_fixture</v>
      </c>
      <c r="E912" s="3" t="str">
        <f>Table1[[#This Row],[Calling Node]]&amp;" -&gt; "&amp;Table1[[#This Row],[Called Node]]</f>
        <v>test_harvest_R5_SUSHI -&gt; StatisticsSources_fixture</v>
      </c>
      <c r="F912">
        <f>VLOOKUP(Table1[[#This Row],[Calling Node]],Nodes!A:D,4,0)</f>
        <v>39</v>
      </c>
      <c r="G912">
        <f>VLOOKUP(Table1[[#This Row],[Calling Node]],Nodes!A:E,5,0)</f>
        <v>12</v>
      </c>
      <c r="H912">
        <f>VLOOKUP(Table1[[#This Row],[Called Node]],Nodes!A:D,4,0)</f>
        <v>39</v>
      </c>
      <c r="I912">
        <f>VLOOKUP(Table1[[#This Row],[Called Node]],Nodes!A:E,5,0)</f>
        <v>2</v>
      </c>
    </row>
    <row r="913" spans="1:9" x14ac:dyDescent="0.3">
      <c r="A913" t="s">
        <v>427</v>
      </c>
      <c r="B913" t="str">
        <f>VLOOKUP(Table1[[#This Row],[Calling Node]],Nodes!A:B,2,0)</f>
        <v>test_harvest_R5_SUSHI_with_report_to_harvest</v>
      </c>
      <c r="C913" t="s">
        <v>32</v>
      </c>
      <c r="D913" t="str">
        <f>VLOOKUP(Table1[[#This Row],[Called Node]],Nodes!A:B,2,0)</f>
        <v>_harvest_R5_SUSHI</v>
      </c>
      <c r="E913" s="3" t="str">
        <f>Table1[[#This Row],[Calling Node]]&amp;" -&gt; "&amp;Table1[[#This Row],[Called Node]]</f>
        <v>test_harvest_R5_SUSHI_with_report_to_harvest -&gt; _harvest_R5_SUSHI</v>
      </c>
      <c r="F913">
        <f>VLOOKUP(Table1[[#This Row],[Calling Node]],Nodes!A:D,4,0)</f>
        <v>39</v>
      </c>
      <c r="G913">
        <f>VLOOKUP(Table1[[#This Row],[Calling Node]],Nodes!A:E,5,0)</f>
        <v>13</v>
      </c>
      <c r="H913">
        <f>VLOOKUP(Table1[[#This Row],[Called Node]],Nodes!A:D,4,0)</f>
        <v>6</v>
      </c>
      <c r="I913">
        <f>VLOOKUP(Table1[[#This Row],[Called Node]],Nodes!A:E,5,0)</f>
        <v>3</v>
      </c>
    </row>
    <row r="914" spans="1:9" x14ac:dyDescent="0.3">
      <c r="A914" t="s">
        <v>427</v>
      </c>
      <c r="B914" t="str">
        <f>VLOOKUP(Table1[[#This Row],[Calling Node]],Nodes!A:B,2,0)</f>
        <v>test_harvest_R5_SUSHI_with_report_to_harvest</v>
      </c>
      <c r="C914" t="s">
        <v>115</v>
      </c>
      <c r="D914" t="str">
        <f>VLOOKUP(Table1[[#This Row],[Called Node]],Nodes!A:B,2,0)</f>
        <v>last_day_of_month</v>
      </c>
      <c r="E914" s="3" t="str">
        <f>Table1[[#This Row],[Calling Node]]&amp;" -&gt; "&amp;Table1[[#This Row],[Called Node]]</f>
        <v>test_harvest_R5_SUSHI_with_report_to_harvest -&gt; last_day_of_month</v>
      </c>
      <c r="F914">
        <f>VLOOKUP(Table1[[#This Row],[Calling Node]],Nodes!A:D,4,0)</f>
        <v>39</v>
      </c>
      <c r="G914">
        <f>VLOOKUP(Table1[[#This Row],[Calling Node]],Nodes!A:E,5,0)</f>
        <v>13</v>
      </c>
      <c r="H914">
        <f>VLOOKUP(Table1[[#This Row],[Called Node]],Nodes!A:D,4,0)</f>
        <v>22</v>
      </c>
      <c r="I914">
        <f>VLOOKUP(Table1[[#This Row],[Called Node]],Nodes!A:E,5,0)</f>
        <v>9</v>
      </c>
    </row>
    <row r="915" spans="1:9" x14ac:dyDescent="0.3">
      <c r="A915" t="s">
        <v>427</v>
      </c>
      <c r="B915" t="str">
        <f>VLOOKUP(Table1[[#This Row],[Calling Node]],Nodes!A:B,2,0)</f>
        <v>test_harvest_R5_SUSHI_with_report_to_harvest</v>
      </c>
      <c r="C915" t="s">
        <v>254</v>
      </c>
      <c r="D915" t="str">
        <f>VLOOKUP(Table1[[#This Row],[Called Node]],Nodes!A:B,2,0)</f>
        <v>most_recent_month_with_usage</v>
      </c>
      <c r="E915" s="3" t="str">
        <f>Table1[[#This Row],[Calling Node]]&amp;" -&gt; "&amp;Table1[[#This Row],[Called Node]]</f>
        <v>test_harvest_R5_SUSHI_with_report_to_harvest -&gt; most_recent_month_with_usage</v>
      </c>
      <c r="F915">
        <f>VLOOKUP(Table1[[#This Row],[Calling Node]],Nodes!A:D,4,0)</f>
        <v>39</v>
      </c>
      <c r="G915">
        <f>VLOOKUP(Table1[[#This Row],[Calling Node]],Nodes!A:E,5,0)</f>
        <v>13</v>
      </c>
      <c r="H915">
        <f>VLOOKUP(Table1[[#This Row],[Called Node]],Nodes!A:D,4,0)</f>
        <v>25</v>
      </c>
      <c r="I915">
        <f>VLOOKUP(Table1[[#This Row],[Called Node]],Nodes!A:E,5,0)</f>
        <v>40</v>
      </c>
    </row>
    <row r="916" spans="1:9" x14ac:dyDescent="0.3">
      <c r="A916" t="s">
        <v>427</v>
      </c>
      <c r="B916" t="str">
        <f>VLOOKUP(Table1[[#This Row],[Calling Node]],Nodes!A:B,2,0)</f>
        <v>test_harvest_R5_SUSHI_with_report_to_harvest</v>
      </c>
      <c r="C916" t="s">
        <v>3</v>
      </c>
      <c r="D916" t="str">
        <f>VLOOKUP(Table1[[#This Row],[Called Node]],Nodes!A:B,2,0)</f>
        <v>StatisticsSources_fixture</v>
      </c>
      <c r="E916" s="3" t="str">
        <f>Table1[[#This Row],[Calling Node]]&amp;" -&gt; "&amp;Table1[[#This Row],[Called Node]]</f>
        <v>test_harvest_R5_SUSHI_with_report_to_harvest -&gt; StatisticsSources_fixture</v>
      </c>
      <c r="F916">
        <f>VLOOKUP(Table1[[#This Row],[Calling Node]],Nodes!A:D,4,0)</f>
        <v>39</v>
      </c>
      <c r="G916">
        <f>VLOOKUP(Table1[[#This Row],[Calling Node]],Nodes!A:E,5,0)</f>
        <v>13</v>
      </c>
      <c r="H916">
        <f>VLOOKUP(Table1[[#This Row],[Called Node]],Nodes!A:D,4,0)</f>
        <v>39</v>
      </c>
      <c r="I916">
        <f>VLOOKUP(Table1[[#This Row],[Called Node]],Nodes!A:E,5,0)</f>
        <v>2</v>
      </c>
    </row>
    <row r="917" spans="1:9" x14ac:dyDescent="0.3">
      <c r="A917" t="s">
        <v>427</v>
      </c>
      <c r="B917" t="str">
        <f>VLOOKUP(Table1[[#This Row],[Calling Node]],Nodes!A:B,2,0)</f>
        <v>test_harvest_R5_SUSHI_with_report_to_harvest</v>
      </c>
      <c r="C917" t="s">
        <v>420</v>
      </c>
      <c r="D917" t="str">
        <f>VLOOKUP(Table1[[#This Row],[Called Node]],Nodes!A:B,2,0)</f>
        <v>reports_offered_by_StatisticsSource_fixture</v>
      </c>
      <c r="E917" s="3" t="str">
        <f>Table1[[#This Row],[Calling Node]]&amp;" -&gt; "&amp;Table1[[#This Row],[Called Node]]</f>
        <v>test_harvest_R5_SUSHI_with_report_to_harvest -&gt; reports_offered_by_StatisticsSource_fixture</v>
      </c>
      <c r="F917">
        <f>VLOOKUP(Table1[[#This Row],[Calling Node]],Nodes!A:D,4,0)</f>
        <v>39</v>
      </c>
      <c r="G917">
        <f>VLOOKUP(Table1[[#This Row],[Calling Node]],Nodes!A:E,5,0)</f>
        <v>13</v>
      </c>
      <c r="H917">
        <f>VLOOKUP(Table1[[#This Row],[Called Node]],Nodes!A:D,4,0)</f>
        <v>39</v>
      </c>
      <c r="I917">
        <f>VLOOKUP(Table1[[#This Row],[Called Node]],Nodes!A:E,5,0)</f>
        <v>6</v>
      </c>
    </row>
    <row r="918" spans="1:9" x14ac:dyDescent="0.3">
      <c r="A918" t="s">
        <v>428</v>
      </c>
      <c r="B918" t="str">
        <f>VLOOKUP(Table1[[#This Row],[Calling Node]],Nodes!A:B,2,0)</f>
        <v>test_harvest_R5_SUSHI_with_invalid_dates</v>
      </c>
      <c r="C918" t="s">
        <v>32</v>
      </c>
      <c r="D918" t="str">
        <f>VLOOKUP(Table1[[#This Row],[Called Node]],Nodes!A:B,2,0)</f>
        <v>_harvest_R5_SUSHI</v>
      </c>
      <c r="E918" s="3" t="str">
        <f>Table1[[#This Row],[Calling Node]]&amp;" -&gt; "&amp;Table1[[#This Row],[Called Node]]</f>
        <v>test_harvest_R5_SUSHI_with_invalid_dates -&gt; _harvest_R5_SUSHI</v>
      </c>
      <c r="F918">
        <f>VLOOKUP(Table1[[#This Row],[Calling Node]],Nodes!A:D,4,0)</f>
        <v>39</v>
      </c>
      <c r="G918">
        <f>VLOOKUP(Table1[[#This Row],[Calling Node]],Nodes!A:E,5,0)</f>
        <v>14</v>
      </c>
      <c r="H918">
        <f>VLOOKUP(Table1[[#This Row],[Called Node]],Nodes!A:D,4,0)</f>
        <v>6</v>
      </c>
      <c r="I918">
        <f>VLOOKUP(Table1[[#This Row],[Called Node]],Nodes!A:E,5,0)</f>
        <v>3</v>
      </c>
    </row>
    <row r="919" spans="1:9" x14ac:dyDescent="0.3">
      <c r="A919" t="s">
        <v>428</v>
      </c>
      <c r="B919" t="str">
        <f>VLOOKUP(Table1[[#This Row],[Calling Node]],Nodes!A:B,2,0)</f>
        <v>test_harvest_R5_SUSHI_with_invalid_dates</v>
      </c>
      <c r="C919" t="s">
        <v>115</v>
      </c>
      <c r="D919" t="str">
        <f>VLOOKUP(Table1[[#This Row],[Called Node]],Nodes!A:B,2,0)</f>
        <v>last_day_of_month</v>
      </c>
      <c r="E919" s="3" t="str">
        <f>Table1[[#This Row],[Calling Node]]&amp;" -&gt; "&amp;Table1[[#This Row],[Called Node]]</f>
        <v>test_harvest_R5_SUSHI_with_invalid_dates -&gt; last_day_of_month</v>
      </c>
      <c r="F919">
        <f>VLOOKUP(Table1[[#This Row],[Calling Node]],Nodes!A:D,4,0)</f>
        <v>39</v>
      </c>
      <c r="G919">
        <f>VLOOKUP(Table1[[#This Row],[Calling Node]],Nodes!A:E,5,0)</f>
        <v>14</v>
      </c>
      <c r="H919">
        <f>VLOOKUP(Table1[[#This Row],[Called Node]],Nodes!A:D,4,0)</f>
        <v>22</v>
      </c>
      <c r="I919">
        <f>VLOOKUP(Table1[[#This Row],[Called Node]],Nodes!A:E,5,0)</f>
        <v>9</v>
      </c>
    </row>
    <row r="920" spans="1:9" x14ac:dyDescent="0.3">
      <c r="A920" t="s">
        <v>428</v>
      </c>
      <c r="B920" t="str">
        <f>VLOOKUP(Table1[[#This Row],[Calling Node]],Nodes!A:B,2,0)</f>
        <v>test_harvest_R5_SUSHI_with_invalid_dates</v>
      </c>
      <c r="C920" t="s">
        <v>162</v>
      </c>
      <c r="D920" t="str">
        <f>VLOOKUP(Table1[[#This Row],[Called Node]],Nodes!A:B,2,0)</f>
        <v>attempted_SUSHI_call_with_invalid_dates_statement</v>
      </c>
      <c r="E920" s="3" t="str">
        <f>Table1[[#This Row],[Calling Node]]&amp;" -&gt; "&amp;Table1[[#This Row],[Called Node]]</f>
        <v>test_harvest_R5_SUSHI_with_invalid_dates -&gt; attempted_SUSHI_call_with_invalid_dates_statement</v>
      </c>
      <c r="F920">
        <f>VLOOKUP(Table1[[#This Row],[Calling Node]],Nodes!A:D,4,0)</f>
        <v>39</v>
      </c>
      <c r="G920">
        <f>VLOOKUP(Table1[[#This Row],[Calling Node]],Nodes!A:E,5,0)</f>
        <v>14</v>
      </c>
      <c r="H920">
        <f>VLOOKUP(Table1[[#This Row],[Called Node]],Nodes!A:D,4,0)</f>
        <v>23</v>
      </c>
      <c r="I920">
        <f>VLOOKUP(Table1[[#This Row],[Called Node]],Nodes!A:E,5,0)</f>
        <v>28</v>
      </c>
    </row>
    <row r="921" spans="1:9" x14ac:dyDescent="0.3">
      <c r="A921" t="s">
        <v>428</v>
      </c>
      <c r="B921" t="str">
        <f>VLOOKUP(Table1[[#This Row],[Calling Node]],Nodes!A:B,2,0)</f>
        <v>test_harvest_R5_SUSHI_with_invalid_dates</v>
      </c>
      <c r="C921" t="s">
        <v>254</v>
      </c>
      <c r="D921" t="str">
        <f>VLOOKUP(Table1[[#This Row],[Called Node]],Nodes!A:B,2,0)</f>
        <v>most_recent_month_with_usage</v>
      </c>
      <c r="E921" s="3" t="str">
        <f>Table1[[#This Row],[Calling Node]]&amp;" -&gt; "&amp;Table1[[#This Row],[Called Node]]</f>
        <v>test_harvest_R5_SUSHI_with_invalid_dates -&gt; most_recent_month_with_usage</v>
      </c>
      <c r="F921">
        <f>VLOOKUP(Table1[[#This Row],[Calling Node]],Nodes!A:D,4,0)</f>
        <v>39</v>
      </c>
      <c r="G921">
        <f>VLOOKUP(Table1[[#This Row],[Calling Node]],Nodes!A:E,5,0)</f>
        <v>14</v>
      </c>
      <c r="H921">
        <f>VLOOKUP(Table1[[#This Row],[Called Node]],Nodes!A:D,4,0)</f>
        <v>25</v>
      </c>
      <c r="I921">
        <f>VLOOKUP(Table1[[#This Row],[Called Node]],Nodes!A:E,5,0)</f>
        <v>40</v>
      </c>
    </row>
    <row r="922" spans="1:9" x14ac:dyDescent="0.3">
      <c r="A922" t="s">
        <v>428</v>
      </c>
      <c r="B922" t="str">
        <f>VLOOKUP(Table1[[#This Row],[Calling Node]],Nodes!A:B,2,0)</f>
        <v>test_harvest_R5_SUSHI_with_invalid_dates</v>
      </c>
      <c r="C922" t="s">
        <v>3</v>
      </c>
      <c r="D922" t="str">
        <f>VLOOKUP(Table1[[#This Row],[Called Node]],Nodes!A:B,2,0)</f>
        <v>StatisticsSources_fixture</v>
      </c>
      <c r="E922" s="3" t="str">
        <f>Table1[[#This Row],[Calling Node]]&amp;" -&gt; "&amp;Table1[[#This Row],[Called Node]]</f>
        <v>test_harvest_R5_SUSHI_with_invalid_dates -&gt; StatisticsSources_fixture</v>
      </c>
      <c r="F922">
        <f>VLOOKUP(Table1[[#This Row],[Calling Node]],Nodes!A:D,4,0)</f>
        <v>39</v>
      </c>
      <c r="G922">
        <f>VLOOKUP(Table1[[#This Row],[Calling Node]],Nodes!A:E,5,0)</f>
        <v>14</v>
      </c>
      <c r="H922">
        <f>VLOOKUP(Table1[[#This Row],[Called Node]],Nodes!A:D,4,0)</f>
        <v>39</v>
      </c>
      <c r="I922">
        <f>VLOOKUP(Table1[[#This Row],[Called Node]],Nodes!A:E,5,0)</f>
        <v>2</v>
      </c>
    </row>
    <row r="923" spans="1:9" x14ac:dyDescent="0.3">
      <c r="A923" t="s">
        <v>428</v>
      </c>
      <c r="B923" t="str">
        <f>VLOOKUP(Table1[[#This Row],[Calling Node]],Nodes!A:B,2,0)</f>
        <v>test_harvest_R5_SUSHI_with_invalid_dates</v>
      </c>
      <c r="C923" t="s">
        <v>420</v>
      </c>
      <c r="D923" t="str">
        <f>VLOOKUP(Table1[[#This Row],[Called Node]],Nodes!A:B,2,0)</f>
        <v>reports_offered_by_StatisticsSource_fixture</v>
      </c>
      <c r="E923" s="3" t="str">
        <f>Table1[[#This Row],[Calling Node]]&amp;" -&gt; "&amp;Table1[[#This Row],[Called Node]]</f>
        <v>test_harvest_R5_SUSHI_with_invalid_dates -&gt; reports_offered_by_StatisticsSource_fixture</v>
      </c>
      <c r="F923">
        <f>VLOOKUP(Table1[[#This Row],[Calling Node]],Nodes!A:D,4,0)</f>
        <v>39</v>
      </c>
      <c r="G923">
        <f>VLOOKUP(Table1[[#This Row],[Calling Node]],Nodes!A:E,5,0)</f>
        <v>14</v>
      </c>
      <c r="H923">
        <f>VLOOKUP(Table1[[#This Row],[Called Node]],Nodes!A:D,4,0)</f>
        <v>39</v>
      </c>
      <c r="I923">
        <f>VLOOKUP(Table1[[#This Row],[Called Node]],Nodes!A:E,5,0)</f>
        <v>6</v>
      </c>
    </row>
    <row r="924" spans="1:9" x14ac:dyDescent="0.3">
      <c r="A924" t="s">
        <v>429</v>
      </c>
      <c r="B924" t="str">
        <f>VLOOKUP(Table1[[#This Row],[Calling Node]],Nodes!A:B,2,0)</f>
        <v>month_before_month_like_most_recent_month_with_usage</v>
      </c>
      <c r="C924" t="s">
        <v>115</v>
      </c>
      <c r="D924" t="str">
        <f>VLOOKUP(Table1[[#This Row],[Called Node]],Nodes!A:B,2,0)</f>
        <v>last_day_of_month</v>
      </c>
      <c r="E924" s="3" t="str">
        <f>Table1[[#This Row],[Calling Node]]&amp;" -&gt; "&amp;Table1[[#This Row],[Called Node]]</f>
        <v>month_before_month_like_most_recent_month_with_usage -&gt; last_day_of_month</v>
      </c>
      <c r="F924">
        <f>VLOOKUP(Table1[[#This Row],[Calling Node]],Nodes!A:D,4,0)</f>
        <v>39</v>
      </c>
      <c r="G924">
        <f>VLOOKUP(Table1[[#This Row],[Calling Node]],Nodes!A:E,5,0)</f>
        <v>15</v>
      </c>
      <c r="H924">
        <f>VLOOKUP(Table1[[#This Row],[Called Node]],Nodes!A:D,4,0)</f>
        <v>22</v>
      </c>
      <c r="I924">
        <f>VLOOKUP(Table1[[#This Row],[Called Node]],Nodes!A:E,5,0)</f>
        <v>9</v>
      </c>
    </row>
    <row r="925" spans="1:9" x14ac:dyDescent="0.3">
      <c r="A925" t="s">
        <v>429</v>
      </c>
      <c r="B925" t="str">
        <f>VLOOKUP(Table1[[#This Row],[Calling Node]],Nodes!A:B,2,0)</f>
        <v>month_before_month_like_most_recent_month_with_usage</v>
      </c>
      <c r="C925" t="s">
        <v>254</v>
      </c>
      <c r="D925" t="str">
        <f>VLOOKUP(Table1[[#This Row],[Called Node]],Nodes!A:B,2,0)</f>
        <v>most_recent_month_with_usage</v>
      </c>
      <c r="E925" s="3" t="str">
        <f>Table1[[#This Row],[Calling Node]]&amp;" -&gt; "&amp;Table1[[#This Row],[Called Node]]</f>
        <v>month_before_month_like_most_recent_month_with_usage -&gt; most_recent_month_with_usage</v>
      </c>
      <c r="F925">
        <f>VLOOKUP(Table1[[#This Row],[Calling Node]],Nodes!A:D,4,0)</f>
        <v>39</v>
      </c>
      <c r="G925">
        <f>VLOOKUP(Table1[[#This Row],[Calling Node]],Nodes!A:E,5,0)</f>
        <v>15</v>
      </c>
      <c r="H925">
        <f>VLOOKUP(Table1[[#This Row],[Called Node]],Nodes!A:D,4,0)</f>
        <v>25</v>
      </c>
      <c r="I925">
        <f>VLOOKUP(Table1[[#This Row],[Called Node]],Nodes!A:E,5,0)</f>
        <v>40</v>
      </c>
    </row>
    <row r="926" spans="1:9" x14ac:dyDescent="0.3">
      <c r="A926" t="s">
        <v>430</v>
      </c>
      <c r="B926" s="2" t="str">
        <f>VLOOKUP(Table1[[#This Row],[Calling Node]],Nodes!A:B,2,0)</f>
        <v>harvest_R5_SUSHI_result</v>
      </c>
      <c r="C926" t="s">
        <v>32</v>
      </c>
      <c r="D926" t="str">
        <f>VLOOKUP(Table1[[#This Row],[Called Node]],Nodes!A:B,2,0)</f>
        <v>_harvest_R5_SUSHI</v>
      </c>
      <c r="E926" s="3" t="str">
        <f>Table1[[#This Row],[Calling Node]]&amp;" -&gt; "&amp;Table1[[#This Row],[Called Node]]</f>
        <v>harvest_R5_SUSHI_result_in_test_StatisticsSources -&gt; _harvest_R5_SUSHI</v>
      </c>
      <c r="F926">
        <f>VLOOKUP(Table1[[#This Row],[Calling Node]],Nodes!A:D,4,0)</f>
        <v>39</v>
      </c>
      <c r="G926">
        <f>VLOOKUP(Table1[[#This Row],[Calling Node]],Nodes!A:E,5,0)</f>
        <v>16</v>
      </c>
      <c r="H926">
        <f>VLOOKUP(Table1[[#This Row],[Called Node]],Nodes!A:D,4,0)</f>
        <v>6</v>
      </c>
      <c r="I926">
        <f>VLOOKUP(Table1[[#This Row],[Called Node]],Nodes!A:E,5,0)</f>
        <v>3</v>
      </c>
    </row>
    <row r="927" spans="1:9" x14ac:dyDescent="0.3">
      <c r="A927" t="s">
        <v>430</v>
      </c>
      <c r="B927" s="2" t="str">
        <f>VLOOKUP(Table1[[#This Row],[Calling Node]],Nodes!A:B,2,0)</f>
        <v>harvest_R5_SUSHI_result</v>
      </c>
      <c r="C927" t="s">
        <v>3</v>
      </c>
      <c r="D927" t="str">
        <f>VLOOKUP(Table1[[#This Row],[Called Node]],Nodes!A:B,2,0)</f>
        <v>StatisticsSources_fixture</v>
      </c>
      <c r="E927" s="3" t="str">
        <f>Table1[[#This Row],[Calling Node]]&amp;" -&gt; "&amp;Table1[[#This Row],[Called Node]]</f>
        <v>harvest_R5_SUSHI_result_in_test_StatisticsSources -&gt; StatisticsSources_fixture</v>
      </c>
      <c r="F927">
        <f>VLOOKUP(Table1[[#This Row],[Calling Node]],Nodes!A:D,4,0)</f>
        <v>39</v>
      </c>
      <c r="G927">
        <f>VLOOKUP(Table1[[#This Row],[Calling Node]],Nodes!A:E,5,0)</f>
        <v>16</v>
      </c>
      <c r="H927">
        <f>VLOOKUP(Table1[[#This Row],[Called Node]],Nodes!A:D,4,0)</f>
        <v>39</v>
      </c>
      <c r="I927">
        <f>VLOOKUP(Table1[[#This Row],[Called Node]],Nodes!A:E,5,0)</f>
        <v>2</v>
      </c>
    </row>
    <row r="928" spans="1:9" x14ac:dyDescent="0.3">
      <c r="A928" t="s">
        <v>430</v>
      </c>
      <c r="B928" s="2" t="str">
        <f>VLOOKUP(Table1[[#This Row],[Calling Node]],Nodes!A:B,2,0)</f>
        <v>harvest_R5_SUSHI_result</v>
      </c>
      <c r="C928" t="s">
        <v>429</v>
      </c>
      <c r="D928" t="str">
        <f>VLOOKUP(Table1[[#This Row],[Called Node]],Nodes!A:B,2,0)</f>
        <v>month_before_month_like_most_recent_month_with_usage</v>
      </c>
      <c r="E928" s="3" t="str">
        <f>Table1[[#This Row],[Calling Node]]&amp;" -&gt; "&amp;Table1[[#This Row],[Called Node]]</f>
        <v>harvest_R5_SUSHI_result_in_test_StatisticsSources -&gt; month_before_month_like_most_recent_month_with_usage</v>
      </c>
      <c r="F928">
        <f>VLOOKUP(Table1[[#This Row],[Calling Node]],Nodes!A:D,4,0)</f>
        <v>39</v>
      </c>
      <c r="G928">
        <f>VLOOKUP(Table1[[#This Row],[Calling Node]],Nodes!A:E,5,0)</f>
        <v>16</v>
      </c>
      <c r="H928">
        <f>VLOOKUP(Table1[[#This Row],[Called Node]],Nodes!A:D,4,0)</f>
        <v>39</v>
      </c>
      <c r="I928">
        <f>VLOOKUP(Table1[[#This Row],[Called Node]],Nodes!A:E,5,0)</f>
        <v>15</v>
      </c>
    </row>
    <row r="929" spans="1:9" x14ac:dyDescent="0.3">
      <c r="A929" t="s">
        <v>431</v>
      </c>
      <c r="B929" t="str">
        <f>VLOOKUP(Table1[[#This Row],[Calling Node]],Nodes!A:B,2,0)</f>
        <v>test_collect_usage_statistics</v>
      </c>
      <c r="C929" t="s">
        <v>32</v>
      </c>
      <c r="D929" t="str">
        <f>VLOOKUP(Table1[[#This Row],[Called Node]],Nodes!A:B,2,0)</f>
        <v>_harvest_R5_SUSHI</v>
      </c>
      <c r="E929" s="3" t="str">
        <f>Table1[[#This Row],[Calling Node]]&amp;" -&gt; "&amp;Table1[[#This Row],[Called Node]]</f>
        <v>test_collect_usage_statistics -&gt; _harvest_R5_SUSHI</v>
      </c>
      <c r="F929">
        <f>VLOOKUP(Table1[[#This Row],[Calling Node]],Nodes!A:D,4,0)</f>
        <v>39</v>
      </c>
      <c r="G929">
        <f>VLOOKUP(Table1[[#This Row],[Calling Node]],Nodes!A:E,5,0)</f>
        <v>17</v>
      </c>
      <c r="H929">
        <f>VLOOKUP(Table1[[#This Row],[Called Node]],Nodes!A:D,4,0)</f>
        <v>6</v>
      </c>
      <c r="I929">
        <f>VLOOKUP(Table1[[#This Row],[Called Node]],Nodes!A:E,5,0)</f>
        <v>3</v>
      </c>
    </row>
    <row r="930" spans="1:9" x14ac:dyDescent="0.3">
      <c r="A930" t="s">
        <v>431</v>
      </c>
      <c r="B930" t="str">
        <f>VLOOKUP(Table1[[#This Row],[Calling Node]],Nodes!A:B,2,0)</f>
        <v>test_collect_usage_statistics</v>
      </c>
      <c r="C930" t="s">
        <v>35</v>
      </c>
      <c r="D930" t="str">
        <f>VLOOKUP(Table1[[#This Row],[Called Node]],Nodes!A:B,2,0)</f>
        <v>collect_usage_statistics</v>
      </c>
      <c r="E930" s="3" t="str">
        <f>Table1[[#This Row],[Calling Node]]&amp;" -&gt; "&amp;Table1[[#This Row],[Called Node]]</f>
        <v>test_collect_usage_statistics -&gt; collect_usage_statistics</v>
      </c>
      <c r="F930">
        <f>VLOOKUP(Table1[[#This Row],[Calling Node]],Nodes!A:D,4,0)</f>
        <v>39</v>
      </c>
      <c r="G930">
        <f>VLOOKUP(Table1[[#This Row],[Calling Node]],Nodes!A:E,5,0)</f>
        <v>17</v>
      </c>
      <c r="H930">
        <f>VLOOKUP(Table1[[#This Row],[Called Node]],Nodes!A:D,4,0)</f>
        <v>6</v>
      </c>
      <c r="I930">
        <f>VLOOKUP(Table1[[#This Row],[Called Node]],Nodes!A:E,5,0)</f>
        <v>6</v>
      </c>
    </row>
    <row r="931" spans="1:9" x14ac:dyDescent="0.3">
      <c r="A931" t="s">
        <v>431</v>
      </c>
      <c r="B931" t="str">
        <f>VLOOKUP(Table1[[#This Row],[Calling Node]],Nodes!A:B,2,0)</f>
        <v>test_collect_usage_statistics</v>
      </c>
      <c r="C931" t="s">
        <v>156</v>
      </c>
      <c r="D931" t="str">
        <f>VLOOKUP(Table1[[#This Row],[Called Node]],Nodes!A:B,2,0)</f>
        <v>load_data_into_database_success_regex</v>
      </c>
      <c r="E931" s="3" t="str">
        <f>Table1[[#This Row],[Calling Node]]&amp;" -&gt; "&amp;Table1[[#This Row],[Called Node]]</f>
        <v>test_collect_usage_statistics -&gt; load_data_into_database_success_regex</v>
      </c>
      <c r="F931">
        <f>VLOOKUP(Table1[[#This Row],[Calling Node]],Nodes!A:D,4,0)</f>
        <v>39</v>
      </c>
      <c r="G931">
        <f>VLOOKUP(Table1[[#This Row],[Calling Node]],Nodes!A:E,5,0)</f>
        <v>17</v>
      </c>
      <c r="H931">
        <f>VLOOKUP(Table1[[#This Row],[Called Node]],Nodes!A:D,4,0)</f>
        <v>23</v>
      </c>
      <c r="I931">
        <f>VLOOKUP(Table1[[#This Row],[Called Node]],Nodes!A:E,5,0)</f>
        <v>22</v>
      </c>
    </row>
    <row r="932" spans="1:9" x14ac:dyDescent="0.3">
      <c r="A932" t="s">
        <v>431</v>
      </c>
      <c r="B932" t="str">
        <f>VLOOKUP(Table1[[#This Row],[Calling Node]],Nodes!A:B,2,0)</f>
        <v>test_collect_usage_statistics</v>
      </c>
      <c r="C932" t="s">
        <v>215</v>
      </c>
      <c r="D932" t="str">
        <f>VLOOKUP(Table1[[#This Row],[Called Node]],Nodes!A:B,2,0)</f>
        <v>engine</v>
      </c>
      <c r="E932" s="3" t="str">
        <f>Table1[[#This Row],[Calling Node]]&amp;" -&gt; "&amp;Table1[[#This Row],[Called Node]]</f>
        <v>test_collect_usage_statistics -&gt; engine</v>
      </c>
      <c r="F932">
        <f>VLOOKUP(Table1[[#This Row],[Calling Node]],Nodes!A:D,4,0)</f>
        <v>39</v>
      </c>
      <c r="G932">
        <f>VLOOKUP(Table1[[#This Row],[Calling Node]],Nodes!A:E,5,0)</f>
        <v>17</v>
      </c>
      <c r="H932">
        <f>VLOOKUP(Table1[[#This Row],[Called Node]],Nodes!A:D,4,0)</f>
        <v>25</v>
      </c>
      <c r="I932">
        <f>VLOOKUP(Table1[[#This Row],[Called Node]],Nodes!A:E,5,0)</f>
        <v>1</v>
      </c>
    </row>
    <row r="933" spans="1:9" x14ac:dyDescent="0.3">
      <c r="A933" t="s">
        <v>431</v>
      </c>
      <c r="B933" t="str">
        <f>VLOOKUP(Table1[[#This Row],[Calling Node]],Nodes!A:B,2,0)</f>
        <v>test_collect_usage_statistics</v>
      </c>
      <c r="C933" t="s">
        <v>255</v>
      </c>
      <c r="D933" t="str">
        <f>VLOOKUP(Table1[[#This Row],[Called Node]],Nodes!A:B,2,0)</f>
        <v>match_direct_SUSHI_harvest_result</v>
      </c>
      <c r="E933" s="3" t="str">
        <f>Table1[[#This Row],[Calling Node]]&amp;" -&gt; "&amp;Table1[[#This Row],[Called Node]]</f>
        <v>test_collect_usage_statistics -&gt; match_direct_SUSHI_harvest_result</v>
      </c>
      <c r="F933">
        <f>VLOOKUP(Table1[[#This Row],[Calling Node]],Nodes!A:D,4,0)</f>
        <v>39</v>
      </c>
      <c r="G933">
        <f>VLOOKUP(Table1[[#This Row],[Calling Node]],Nodes!A:E,5,0)</f>
        <v>17</v>
      </c>
      <c r="H933">
        <f>VLOOKUP(Table1[[#This Row],[Called Node]],Nodes!A:D,4,0)</f>
        <v>25</v>
      </c>
      <c r="I933">
        <f>VLOOKUP(Table1[[#This Row],[Called Node]],Nodes!A:E,5,0)</f>
        <v>41</v>
      </c>
    </row>
    <row r="934" spans="1:9" x14ac:dyDescent="0.3">
      <c r="A934" t="s">
        <v>431</v>
      </c>
      <c r="B934" t="str">
        <f>VLOOKUP(Table1[[#This Row],[Calling Node]],Nodes!A:B,2,0)</f>
        <v>test_collect_usage_statistics</v>
      </c>
      <c r="C934" t="s">
        <v>3</v>
      </c>
      <c r="D934" t="str">
        <f>VLOOKUP(Table1[[#This Row],[Called Node]],Nodes!A:B,2,0)</f>
        <v>StatisticsSources_fixture</v>
      </c>
      <c r="E934" s="3" t="str">
        <f>Table1[[#This Row],[Calling Node]]&amp;" -&gt; "&amp;Table1[[#This Row],[Called Node]]</f>
        <v>test_collect_usage_statistics -&gt; StatisticsSources_fixture</v>
      </c>
      <c r="F934">
        <f>VLOOKUP(Table1[[#This Row],[Calling Node]],Nodes!A:D,4,0)</f>
        <v>39</v>
      </c>
      <c r="G934">
        <f>VLOOKUP(Table1[[#This Row],[Calling Node]],Nodes!A:E,5,0)</f>
        <v>17</v>
      </c>
      <c r="H934">
        <f>VLOOKUP(Table1[[#This Row],[Called Node]],Nodes!A:D,4,0)</f>
        <v>39</v>
      </c>
      <c r="I934">
        <f>VLOOKUP(Table1[[#This Row],[Called Node]],Nodes!A:E,5,0)</f>
        <v>2</v>
      </c>
    </row>
    <row r="935" spans="1:9" x14ac:dyDescent="0.3">
      <c r="A935" t="s">
        <v>431</v>
      </c>
      <c r="B935" t="str">
        <f>VLOOKUP(Table1[[#This Row],[Calling Node]],Nodes!A:B,2,0)</f>
        <v>test_collect_usage_statistics</v>
      </c>
      <c r="C935" t="s">
        <v>429</v>
      </c>
      <c r="D935" t="str">
        <f>VLOOKUP(Table1[[#This Row],[Called Node]],Nodes!A:B,2,0)</f>
        <v>month_before_month_like_most_recent_month_with_usage</v>
      </c>
      <c r="E935" s="3" t="str">
        <f>Table1[[#This Row],[Calling Node]]&amp;" -&gt; "&amp;Table1[[#This Row],[Called Node]]</f>
        <v>test_collect_usage_statistics -&gt; month_before_month_like_most_recent_month_with_usage</v>
      </c>
      <c r="F935">
        <f>VLOOKUP(Table1[[#This Row],[Calling Node]],Nodes!A:D,4,0)</f>
        <v>39</v>
      </c>
      <c r="G935">
        <f>VLOOKUP(Table1[[#This Row],[Calling Node]],Nodes!A:E,5,0)</f>
        <v>17</v>
      </c>
      <c r="H935">
        <f>VLOOKUP(Table1[[#This Row],[Called Node]],Nodes!A:D,4,0)</f>
        <v>39</v>
      </c>
      <c r="I935">
        <f>VLOOKUP(Table1[[#This Row],[Called Node]],Nodes!A:E,5,0)</f>
        <v>15</v>
      </c>
    </row>
    <row r="936" spans="1:9" x14ac:dyDescent="0.3">
      <c r="A936" t="s">
        <v>431</v>
      </c>
      <c r="B936" t="str">
        <f>VLOOKUP(Table1[[#This Row],[Calling Node]],Nodes!A:B,2,0)</f>
        <v>test_collect_usage_statistics</v>
      </c>
      <c r="C936" t="s">
        <v>430</v>
      </c>
      <c r="D936" s="2" t="str">
        <f>VLOOKUP(Table1[[#This Row],[Called Node]],Nodes!A:B,2,0)</f>
        <v>harvest_R5_SUSHI_result</v>
      </c>
      <c r="E936" s="3" t="str">
        <f>Table1[[#This Row],[Calling Node]]&amp;" -&gt; "&amp;Table1[[#This Row],[Called Node]]</f>
        <v>test_collect_usage_statistics -&gt; harvest_R5_SUSHI_result_in_test_StatisticsSources</v>
      </c>
      <c r="F936">
        <f>VLOOKUP(Table1[[#This Row],[Calling Node]],Nodes!A:D,4,0)</f>
        <v>39</v>
      </c>
      <c r="G936">
        <f>VLOOKUP(Table1[[#This Row],[Calling Node]],Nodes!A:E,5,0)</f>
        <v>17</v>
      </c>
      <c r="H936">
        <f>VLOOKUP(Table1[[#This Row],[Called Node]],Nodes!A:D,4,0)</f>
        <v>39</v>
      </c>
      <c r="I936">
        <f>VLOOKUP(Table1[[#This Row],[Called Node]],Nodes!A:E,5,0)</f>
        <v>16</v>
      </c>
    </row>
    <row r="937" spans="1:9" x14ac:dyDescent="0.3">
      <c r="A937" t="s">
        <v>433</v>
      </c>
      <c r="B937" t="str">
        <f>VLOOKUP(Table1[[#This Row],[Calling Node]],Nodes!A:B,2,0)</f>
        <v>partially_duplicate_COUNTER_data</v>
      </c>
      <c r="C937" t="s">
        <v>55</v>
      </c>
      <c r="D937" s="2" t="str">
        <f>VLOOKUP(Table1[[#This Row],[Called Node]],Nodes!A:B,2,0)</f>
        <v>state_data_types</v>
      </c>
      <c r="E937" s="3" t="str">
        <f>Table1[[#This Row],[Calling Node]]&amp;" -&gt; "&amp;Table1[[#This Row],[Called Node]]</f>
        <v>partially_duplicate_COUNTER_data -&gt; state_data_types_in_COUNTERData</v>
      </c>
      <c r="F937">
        <f>VLOOKUP(Table1[[#This Row],[Calling Node]],Nodes!A:D,4,0)</f>
        <v>39</v>
      </c>
      <c r="G937">
        <f>VLOOKUP(Table1[[#This Row],[Calling Node]],Nodes!A:E,5,0)</f>
        <v>19</v>
      </c>
      <c r="H937">
        <f>VLOOKUP(Table1[[#This Row],[Called Node]],Nodes!A:D,4,0)</f>
        <v>12</v>
      </c>
      <c r="I937">
        <f>VLOOKUP(Table1[[#This Row],[Called Node]],Nodes!A:E,5,0)</f>
        <v>1</v>
      </c>
    </row>
    <row r="938" spans="1:9" x14ac:dyDescent="0.3">
      <c r="A938" t="s">
        <v>434</v>
      </c>
      <c r="B938" t="str">
        <f>VLOOKUP(Table1[[#This Row],[Calling Node]],Nodes!A:B,2,0)</f>
        <v>non_duplicate_COUNTER_data</v>
      </c>
      <c r="C938" t="s">
        <v>55</v>
      </c>
      <c r="D938" s="2" t="str">
        <f>VLOOKUP(Table1[[#This Row],[Called Node]],Nodes!A:B,2,0)</f>
        <v>state_data_types</v>
      </c>
      <c r="E938" s="3" t="str">
        <f>Table1[[#This Row],[Calling Node]]&amp;" -&gt; "&amp;Table1[[#This Row],[Called Node]]</f>
        <v>non_duplicate_COUNTER_data -&gt; state_data_types_in_COUNTERData</v>
      </c>
      <c r="F938">
        <f>VLOOKUP(Table1[[#This Row],[Calling Node]],Nodes!A:D,4,0)</f>
        <v>39</v>
      </c>
      <c r="G938">
        <f>VLOOKUP(Table1[[#This Row],[Calling Node]],Nodes!A:E,5,0)</f>
        <v>20</v>
      </c>
      <c r="H938">
        <f>VLOOKUP(Table1[[#This Row],[Called Node]],Nodes!A:D,4,0)</f>
        <v>12</v>
      </c>
      <c r="I938">
        <f>VLOOKUP(Table1[[#This Row],[Called Node]],Nodes!A:E,5,0)</f>
        <v>1</v>
      </c>
    </row>
    <row r="939" spans="1:9" x14ac:dyDescent="0.3">
      <c r="A939" t="s">
        <v>435</v>
      </c>
      <c r="B939" t="str">
        <f>VLOOKUP(Table1[[#This Row],[Calling Node]],Nodes!A:B,2,0)</f>
        <v>test_check_if_data_already_in_COUNTERData</v>
      </c>
      <c r="C939" t="s">
        <v>123</v>
      </c>
      <c r="D939" t="str">
        <f>VLOOKUP(Table1[[#This Row],[Called Node]],Nodes!A:B,2,0)</f>
        <v>query_database</v>
      </c>
      <c r="E939" s="3" t="str">
        <f>Table1[[#This Row],[Calling Node]]&amp;" -&gt; "&amp;Table1[[#This Row],[Called Node]]</f>
        <v>test_check_if_data_already_in_COUNTERData -&gt; query_database</v>
      </c>
      <c r="F939">
        <f>VLOOKUP(Table1[[#This Row],[Calling Node]],Nodes!A:D,4,0)</f>
        <v>39</v>
      </c>
      <c r="G939">
        <f>VLOOKUP(Table1[[#This Row],[Calling Node]],Nodes!A:E,5,0)</f>
        <v>21</v>
      </c>
      <c r="H939">
        <f>VLOOKUP(Table1[[#This Row],[Called Node]],Nodes!A:D,4,0)</f>
        <v>22</v>
      </c>
      <c r="I939">
        <f>VLOOKUP(Table1[[#This Row],[Called Node]],Nodes!A:E,5,0)</f>
        <v>17</v>
      </c>
    </row>
    <row r="940" spans="1:9" x14ac:dyDescent="0.3">
      <c r="A940" t="s">
        <v>435</v>
      </c>
      <c r="B940" t="str">
        <f>VLOOKUP(Table1[[#This Row],[Calling Node]],Nodes!A:B,2,0)</f>
        <v>test_check_if_data_already_in_COUNTERData</v>
      </c>
      <c r="C940" t="s">
        <v>124</v>
      </c>
      <c r="D940" t="str">
        <f>VLOOKUP(Table1[[#This Row],[Called Node]],Nodes!A:B,2,0)</f>
        <v>check_if_data_already_in_COUNTERData</v>
      </c>
      <c r="E940" s="3" t="str">
        <f>Table1[[#This Row],[Calling Node]]&amp;" -&gt; "&amp;Table1[[#This Row],[Called Node]]</f>
        <v>test_check_if_data_already_in_COUNTERData -&gt; check_if_data_already_in_COUNTERData</v>
      </c>
      <c r="F940">
        <f>VLOOKUP(Table1[[#This Row],[Calling Node]],Nodes!A:D,4,0)</f>
        <v>39</v>
      </c>
      <c r="G940">
        <f>VLOOKUP(Table1[[#This Row],[Calling Node]],Nodes!A:E,5,0)</f>
        <v>21</v>
      </c>
      <c r="H940">
        <f>VLOOKUP(Table1[[#This Row],[Called Node]],Nodes!A:D,4,0)</f>
        <v>22</v>
      </c>
      <c r="I940">
        <f>VLOOKUP(Table1[[#This Row],[Called Node]],Nodes!A:E,5,0)</f>
        <v>18</v>
      </c>
    </row>
    <row r="941" spans="1:9" x14ac:dyDescent="0.3">
      <c r="A941" t="s">
        <v>435</v>
      </c>
      <c r="B941" t="str">
        <f>VLOOKUP(Table1[[#This Row],[Calling Node]],Nodes!A:B,2,0)</f>
        <v>test_check_if_data_already_in_COUNTERData</v>
      </c>
      <c r="C941" t="s">
        <v>130</v>
      </c>
      <c r="D941" t="str">
        <f>VLOOKUP(Table1[[#This Row],[Called Node]],Nodes!A:B,2,0)</f>
        <v>extract_value_from_single_value_df</v>
      </c>
      <c r="E941" s="3" t="str">
        <f>Table1[[#This Row],[Calling Node]]&amp;" -&gt; "&amp;Table1[[#This Row],[Called Node]]</f>
        <v>test_check_if_data_already_in_COUNTERData -&gt; extract_value_from_single_value_df</v>
      </c>
      <c r="F941">
        <f>VLOOKUP(Table1[[#This Row],[Calling Node]],Nodes!A:D,4,0)</f>
        <v>39</v>
      </c>
      <c r="G941">
        <f>VLOOKUP(Table1[[#This Row],[Calling Node]],Nodes!A:E,5,0)</f>
        <v>21</v>
      </c>
      <c r="H941">
        <f>VLOOKUP(Table1[[#This Row],[Called Node]],Nodes!A:D,4,0)</f>
        <v>22</v>
      </c>
      <c r="I941">
        <f>VLOOKUP(Table1[[#This Row],[Called Node]],Nodes!A:E,5,0)</f>
        <v>24</v>
      </c>
    </row>
    <row r="942" spans="1:9" x14ac:dyDescent="0.3">
      <c r="A942" t="s">
        <v>435</v>
      </c>
      <c r="B942" t="str">
        <f>VLOOKUP(Table1[[#This Row],[Calling Node]],Nodes!A:B,2,0)</f>
        <v>test_check_if_data_already_in_COUNTERData</v>
      </c>
      <c r="C942" t="s">
        <v>155</v>
      </c>
      <c r="D942" t="str">
        <f>VLOOKUP(Table1[[#This Row],[Called Node]],Nodes!A:B,2,0)</f>
        <v>database_function_skip_statements</v>
      </c>
      <c r="E942" s="3" t="str">
        <f>Table1[[#This Row],[Calling Node]]&amp;" -&gt; "&amp;Table1[[#This Row],[Called Node]]</f>
        <v>test_check_if_data_already_in_COUNTERData -&gt; database_function_skip_statements</v>
      </c>
      <c r="F942">
        <f>VLOOKUP(Table1[[#This Row],[Calling Node]],Nodes!A:D,4,0)</f>
        <v>39</v>
      </c>
      <c r="G942">
        <f>VLOOKUP(Table1[[#This Row],[Calling Node]],Nodes!A:E,5,0)</f>
        <v>21</v>
      </c>
      <c r="H942">
        <f>VLOOKUP(Table1[[#This Row],[Called Node]],Nodes!A:D,4,0)</f>
        <v>23</v>
      </c>
      <c r="I942">
        <f>VLOOKUP(Table1[[#This Row],[Called Node]],Nodes!A:E,5,0)</f>
        <v>21</v>
      </c>
    </row>
    <row r="943" spans="1:9" x14ac:dyDescent="0.3">
      <c r="A943" t="s">
        <v>435</v>
      </c>
      <c r="B943" t="str">
        <f>VLOOKUP(Table1[[#This Row],[Calling Node]],Nodes!A:B,2,0)</f>
        <v>test_check_if_data_already_in_COUNTERData</v>
      </c>
      <c r="C943" t="s">
        <v>215</v>
      </c>
      <c r="D943" t="str">
        <f>VLOOKUP(Table1[[#This Row],[Called Node]],Nodes!A:B,2,0)</f>
        <v>engine</v>
      </c>
      <c r="E943" s="3" t="str">
        <f>Table1[[#This Row],[Calling Node]]&amp;" -&gt; "&amp;Table1[[#This Row],[Called Node]]</f>
        <v>test_check_if_data_already_in_COUNTERData -&gt; engine</v>
      </c>
      <c r="F943">
        <f>VLOOKUP(Table1[[#This Row],[Calling Node]],Nodes!A:D,4,0)</f>
        <v>39</v>
      </c>
      <c r="G943">
        <f>VLOOKUP(Table1[[#This Row],[Calling Node]],Nodes!A:E,5,0)</f>
        <v>21</v>
      </c>
      <c r="H943">
        <f>VLOOKUP(Table1[[#This Row],[Called Node]],Nodes!A:D,4,0)</f>
        <v>25</v>
      </c>
      <c r="I943">
        <f>VLOOKUP(Table1[[#This Row],[Called Node]],Nodes!A:E,5,0)</f>
        <v>1</v>
      </c>
    </row>
    <row r="944" spans="1:9" x14ac:dyDescent="0.3">
      <c r="A944" t="s">
        <v>435</v>
      </c>
      <c r="B944" t="str">
        <f>VLOOKUP(Table1[[#This Row],[Calling Node]],Nodes!A:B,2,0)</f>
        <v>test_check_if_data_already_in_COUNTERData</v>
      </c>
      <c r="C944" t="s">
        <v>433</v>
      </c>
      <c r="D944" t="str">
        <f>VLOOKUP(Table1[[#This Row],[Called Node]],Nodes!A:B,2,0)</f>
        <v>partially_duplicate_COUNTER_data</v>
      </c>
      <c r="E944" s="3" t="str">
        <f>Table1[[#This Row],[Calling Node]]&amp;" -&gt; "&amp;Table1[[#This Row],[Called Node]]</f>
        <v>test_check_if_data_already_in_COUNTERData -&gt; partially_duplicate_COUNTER_data</v>
      </c>
      <c r="F944">
        <f>VLOOKUP(Table1[[#This Row],[Calling Node]],Nodes!A:D,4,0)</f>
        <v>39</v>
      </c>
      <c r="G944">
        <f>VLOOKUP(Table1[[#This Row],[Calling Node]],Nodes!A:E,5,0)</f>
        <v>21</v>
      </c>
      <c r="H944">
        <f>VLOOKUP(Table1[[#This Row],[Called Node]],Nodes!A:D,4,0)</f>
        <v>39</v>
      </c>
      <c r="I944">
        <f>VLOOKUP(Table1[[#This Row],[Called Node]],Nodes!A:E,5,0)</f>
        <v>19</v>
      </c>
    </row>
    <row r="945" spans="1:9" x14ac:dyDescent="0.3">
      <c r="A945" t="s">
        <v>435</v>
      </c>
      <c r="B945" t="str">
        <f>VLOOKUP(Table1[[#This Row],[Calling Node]],Nodes!A:B,2,0)</f>
        <v>test_check_if_data_already_in_COUNTERData</v>
      </c>
      <c r="C945" t="s">
        <v>434</v>
      </c>
      <c r="D945" t="str">
        <f>VLOOKUP(Table1[[#This Row],[Called Node]],Nodes!A:B,2,0)</f>
        <v>non_duplicate_COUNTER_data</v>
      </c>
      <c r="E945" s="3" t="str">
        <f>Table1[[#This Row],[Calling Node]]&amp;" -&gt; "&amp;Table1[[#This Row],[Called Node]]</f>
        <v>test_check_if_data_already_in_COUNTERData -&gt; non_duplicate_COUNTER_data</v>
      </c>
      <c r="F945">
        <f>VLOOKUP(Table1[[#This Row],[Calling Node]],Nodes!A:D,4,0)</f>
        <v>39</v>
      </c>
      <c r="G945">
        <f>VLOOKUP(Table1[[#This Row],[Calling Node]],Nodes!A:E,5,0)</f>
        <v>21</v>
      </c>
      <c r="H945">
        <f>VLOOKUP(Table1[[#This Row],[Called Node]],Nodes!A:D,4,0)</f>
        <v>39</v>
      </c>
      <c r="I945">
        <f>VLOOKUP(Table1[[#This Row],[Called Node]],Nodes!A:E,5,0)</f>
        <v>20</v>
      </c>
    </row>
    <row r="946" spans="1:9" x14ac:dyDescent="0.3">
      <c r="A946" t="s">
        <v>437</v>
      </c>
      <c r="B946" s="2" t="str">
        <f>VLOOKUP(Table1[[#This Row],[Calling Node]],Nodes!A:B,2,0)</f>
        <v>SUSHI_credentials_fixture</v>
      </c>
      <c r="C946" t="s">
        <v>115</v>
      </c>
      <c r="D946" t="str">
        <f>VLOOKUP(Table1[[#This Row],[Called Node]],Nodes!A:B,2,0)</f>
        <v>last_day_of_month</v>
      </c>
      <c r="E946" s="3" t="str">
        <f>Table1[[#This Row],[Calling Node]]&amp;" -&gt; "&amp;Table1[[#This Row],[Called Node]]</f>
        <v>SUSHI_credentials_fixture_in_test_SUSHICallAndResponse -&gt; last_day_of_month</v>
      </c>
      <c r="F946">
        <f>VLOOKUP(Table1[[#This Row],[Calling Node]],Nodes!A:D,4,0)</f>
        <v>40</v>
      </c>
      <c r="G946">
        <f>VLOOKUP(Table1[[#This Row],[Calling Node]],Nodes!A:E,5,0)</f>
        <v>1</v>
      </c>
      <c r="H946">
        <f>VLOOKUP(Table1[[#This Row],[Called Node]],Nodes!A:D,4,0)</f>
        <v>22</v>
      </c>
      <c r="I946">
        <f>VLOOKUP(Table1[[#This Row],[Called Node]],Nodes!A:E,5,0)</f>
        <v>9</v>
      </c>
    </row>
    <row r="947" spans="1:9" x14ac:dyDescent="0.3">
      <c r="A947" t="s">
        <v>439</v>
      </c>
      <c r="B947" t="str">
        <f>VLOOKUP(Table1[[#This Row],[Calling Node]],Nodes!A:B,2,0)</f>
        <v>StatisticsSource_instance_name</v>
      </c>
      <c r="C947" t="s">
        <v>123</v>
      </c>
      <c r="D947" t="str">
        <f>VLOOKUP(Table1[[#This Row],[Called Node]],Nodes!A:B,2,0)</f>
        <v>query_database</v>
      </c>
      <c r="E947" s="3" t="str">
        <f>Table1[[#This Row],[Calling Node]]&amp;" -&gt; "&amp;Table1[[#This Row],[Called Node]]</f>
        <v>StatisticsSource_instance_name -&gt; query_database</v>
      </c>
      <c r="F947">
        <f>VLOOKUP(Table1[[#This Row],[Calling Node]],Nodes!A:D,4,0)</f>
        <v>40</v>
      </c>
      <c r="G947">
        <f>VLOOKUP(Table1[[#This Row],[Calling Node]],Nodes!A:E,5,0)</f>
        <v>2</v>
      </c>
      <c r="H947">
        <f>VLOOKUP(Table1[[#This Row],[Called Node]],Nodes!A:D,4,0)</f>
        <v>22</v>
      </c>
      <c r="I947">
        <f>VLOOKUP(Table1[[#This Row],[Called Node]],Nodes!A:E,5,0)</f>
        <v>17</v>
      </c>
    </row>
    <row r="948" spans="1:9" x14ac:dyDescent="0.3">
      <c r="A948" t="s">
        <v>439</v>
      </c>
      <c r="B948" t="str">
        <f>VLOOKUP(Table1[[#This Row],[Calling Node]],Nodes!A:B,2,0)</f>
        <v>StatisticsSource_instance_name</v>
      </c>
      <c r="C948" t="s">
        <v>130</v>
      </c>
      <c r="D948" t="str">
        <f>VLOOKUP(Table1[[#This Row],[Called Node]],Nodes!A:B,2,0)</f>
        <v>extract_value_from_single_value_df</v>
      </c>
      <c r="E948" s="3" t="str">
        <f>Table1[[#This Row],[Calling Node]]&amp;" -&gt; "&amp;Table1[[#This Row],[Called Node]]</f>
        <v>StatisticsSource_instance_name -&gt; extract_value_from_single_value_df</v>
      </c>
      <c r="F948">
        <f>VLOOKUP(Table1[[#This Row],[Calling Node]],Nodes!A:D,4,0)</f>
        <v>40</v>
      </c>
      <c r="G948">
        <f>VLOOKUP(Table1[[#This Row],[Calling Node]],Nodes!A:E,5,0)</f>
        <v>2</v>
      </c>
      <c r="H948">
        <f>VLOOKUP(Table1[[#This Row],[Called Node]],Nodes!A:D,4,0)</f>
        <v>22</v>
      </c>
      <c r="I948">
        <f>VLOOKUP(Table1[[#This Row],[Called Node]],Nodes!A:E,5,0)</f>
        <v>24</v>
      </c>
    </row>
    <row r="949" spans="1:9" x14ac:dyDescent="0.3">
      <c r="A949" t="s">
        <v>439</v>
      </c>
      <c r="B949" t="str">
        <f>VLOOKUP(Table1[[#This Row],[Calling Node]],Nodes!A:B,2,0)</f>
        <v>StatisticsSource_instance_name</v>
      </c>
      <c r="C949" t="s">
        <v>155</v>
      </c>
      <c r="D949" t="str">
        <f>VLOOKUP(Table1[[#This Row],[Called Node]],Nodes!A:B,2,0)</f>
        <v>database_function_skip_statements</v>
      </c>
      <c r="E949" s="3" t="str">
        <f>Table1[[#This Row],[Calling Node]]&amp;" -&gt; "&amp;Table1[[#This Row],[Called Node]]</f>
        <v>StatisticsSource_instance_name -&gt; database_function_skip_statements</v>
      </c>
      <c r="F949">
        <f>VLOOKUP(Table1[[#This Row],[Calling Node]],Nodes!A:D,4,0)</f>
        <v>40</v>
      </c>
      <c r="G949">
        <f>VLOOKUP(Table1[[#This Row],[Calling Node]],Nodes!A:E,5,0)</f>
        <v>2</v>
      </c>
      <c r="H949">
        <f>VLOOKUP(Table1[[#This Row],[Called Node]],Nodes!A:D,4,0)</f>
        <v>23</v>
      </c>
      <c r="I949">
        <f>VLOOKUP(Table1[[#This Row],[Called Node]],Nodes!A:E,5,0)</f>
        <v>21</v>
      </c>
    </row>
    <row r="950" spans="1:9" x14ac:dyDescent="0.3">
      <c r="A950" t="s">
        <v>439</v>
      </c>
      <c r="B950" t="str">
        <f>VLOOKUP(Table1[[#This Row],[Calling Node]],Nodes!A:B,2,0)</f>
        <v>StatisticsSource_instance_name</v>
      </c>
      <c r="C950" t="s">
        <v>215</v>
      </c>
      <c r="D950" t="str">
        <f>VLOOKUP(Table1[[#This Row],[Called Node]],Nodes!A:B,2,0)</f>
        <v>engine</v>
      </c>
      <c r="E950" s="3" t="str">
        <f>Table1[[#This Row],[Calling Node]]&amp;" -&gt; "&amp;Table1[[#This Row],[Called Node]]</f>
        <v>StatisticsSource_instance_name -&gt; engine</v>
      </c>
      <c r="F950">
        <f>VLOOKUP(Table1[[#This Row],[Calling Node]],Nodes!A:D,4,0)</f>
        <v>40</v>
      </c>
      <c r="G950">
        <f>VLOOKUP(Table1[[#This Row],[Calling Node]],Nodes!A:E,5,0)</f>
        <v>2</v>
      </c>
      <c r="H950">
        <f>VLOOKUP(Table1[[#This Row],[Called Node]],Nodes!A:D,4,0)</f>
        <v>25</v>
      </c>
      <c r="I950">
        <f>VLOOKUP(Table1[[#This Row],[Called Node]],Nodes!A:E,5,0)</f>
        <v>1</v>
      </c>
    </row>
    <row r="951" spans="1:9" x14ac:dyDescent="0.3">
      <c r="A951" t="s">
        <v>440</v>
      </c>
      <c r="B951" t="str">
        <f>VLOOKUP(Table1[[#This Row],[Calling Node]],Nodes!A:B,2,0)</f>
        <v>test_status_call</v>
      </c>
      <c r="C951" t="s">
        <v>57</v>
      </c>
      <c r="D951" t="str">
        <f>VLOOKUP(Table1[[#This Row],[Called Node]],Nodes!A:B,2,0)</f>
        <v>make_SUSHI_call</v>
      </c>
      <c r="E951" s="3" t="str">
        <f>Table1[[#This Row],[Calling Node]]&amp;" -&gt; "&amp;Table1[[#This Row],[Called Node]]</f>
        <v>test_status_call -&gt; make_SUSHI_call</v>
      </c>
      <c r="F951">
        <f>VLOOKUP(Table1[[#This Row],[Calling Node]],Nodes!A:D,4,0)</f>
        <v>40</v>
      </c>
      <c r="G951">
        <f>VLOOKUP(Table1[[#This Row],[Calling Node]],Nodes!A:E,5,0)</f>
        <v>3</v>
      </c>
      <c r="H951">
        <f>VLOOKUP(Table1[[#This Row],[Called Node]],Nodes!A:D,4,0)</f>
        <v>13</v>
      </c>
      <c r="I951">
        <f>VLOOKUP(Table1[[#This Row],[Called Node]],Nodes!A:E,5,0)</f>
        <v>1</v>
      </c>
    </row>
    <row r="952" spans="1:9" x14ac:dyDescent="0.3">
      <c r="A952" t="s">
        <v>440</v>
      </c>
      <c r="B952" t="str">
        <f>VLOOKUP(Table1[[#This Row],[Calling Node]],Nodes!A:B,2,0)</f>
        <v>test_status_call</v>
      </c>
      <c r="C952" t="s">
        <v>155</v>
      </c>
      <c r="D952" t="str">
        <f>VLOOKUP(Table1[[#This Row],[Called Node]],Nodes!A:B,2,0)</f>
        <v>database_function_skip_statements</v>
      </c>
      <c r="E952" s="3" t="str">
        <f>Table1[[#This Row],[Calling Node]]&amp;" -&gt; "&amp;Table1[[#This Row],[Called Node]]</f>
        <v>test_status_call -&gt; database_function_skip_statements</v>
      </c>
      <c r="F952">
        <f>VLOOKUP(Table1[[#This Row],[Calling Node]],Nodes!A:D,4,0)</f>
        <v>40</v>
      </c>
      <c r="G952">
        <f>VLOOKUP(Table1[[#This Row],[Calling Node]],Nodes!A:E,5,0)</f>
        <v>3</v>
      </c>
      <c r="H952">
        <f>VLOOKUP(Table1[[#This Row],[Called Node]],Nodes!A:D,4,0)</f>
        <v>23</v>
      </c>
      <c r="I952">
        <f>VLOOKUP(Table1[[#This Row],[Called Node]],Nodes!A:E,5,0)</f>
        <v>21</v>
      </c>
    </row>
    <row r="953" spans="1:9" x14ac:dyDescent="0.3">
      <c r="A953" t="s">
        <v>440</v>
      </c>
      <c r="B953" t="str">
        <f>VLOOKUP(Table1[[#This Row],[Calling Node]],Nodes!A:B,2,0)</f>
        <v>test_status_call</v>
      </c>
      <c r="C953" t="s">
        <v>163</v>
      </c>
      <c r="D953" t="str">
        <f>VLOOKUP(Table1[[#This Row],[Called Node]],Nodes!A:B,2,0)</f>
        <v>reports_with_no_usage_regex</v>
      </c>
      <c r="E953" s="3" t="str">
        <f>Table1[[#This Row],[Calling Node]]&amp;" -&gt; "&amp;Table1[[#This Row],[Called Node]]</f>
        <v>test_status_call -&gt; reports_with_no_usage_regex</v>
      </c>
      <c r="F953">
        <f>VLOOKUP(Table1[[#This Row],[Calling Node]],Nodes!A:D,4,0)</f>
        <v>40</v>
      </c>
      <c r="G953">
        <f>VLOOKUP(Table1[[#This Row],[Calling Node]],Nodes!A:E,5,0)</f>
        <v>3</v>
      </c>
      <c r="H953">
        <f>VLOOKUP(Table1[[#This Row],[Called Node]],Nodes!A:D,4,0)</f>
        <v>23</v>
      </c>
      <c r="I953">
        <f>VLOOKUP(Table1[[#This Row],[Called Node]],Nodes!A:E,5,0)</f>
        <v>29</v>
      </c>
    </row>
    <row r="954" spans="1:9" x14ac:dyDescent="0.3">
      <c r="A954" t="s">
        <v>440</v>
      </c>
      <c r="B954" t="str">
        <f>VLOOKUP(Table1[[#This Row],[Calling Node]],Nodes!A:B,2,0)</f>
        <v>test_status_call</v>
      </c>
      <c r="C954" t="s">
        <v>164</v>
      </c>
      <c r="D954" t="str">
        <f>VLOOKUP(Table1[[#This Row],[Called Node]],Nodes!A:B,2,0)</f>
        <v>skip_test_due_to_SUSHI_error_regex</v>
      </c>
      <c r="E954" s="3" t="str">
        <f>Table1[[#This Row],[Calling Node]]&amp;" -&gt; "&amp;Table1[[#This Row],[Called Node]]</f>
        <v>test_status_call -&gt; skip_test_due_to_SUSHI_error_regex</v>
      </c>
      <c r="F954">
        <f>VLOOKUP(Table1[[#This Row],[Calling Node]],Nodes!A:D,4,0)</f>
        <v>40</v>
      </c>
      <c r="G954">
        <f>VLOOKUP(Table1[[#This Row],[Calling Node]],Nodes!A:E,5,0)</f>
        <v>3</v>
      </c>
      <c r="H954">
        <f>VLOOKUP(Table1[[#This Row],[Called Node]],Nodes!A:D,4,0)</f>
        <v>23</v>
      </c>
      <c r="I954">
        <f>VLOOKUP(Table1[[#This Row],[Called Node]],Nodes!A:E,5,0)</f>
        <v>30</v>
      </c>
    </row>
    <row r="955" spans="1:9" x14ac:dyDescent="0.3">
      <c r="A955" t="s">
        <v>440</v>
      </c>
      <c r="B955" t="str">
        <f>VLOOKUP(Table1[[#This Row],[Calling Node]],Nodes!A:B,2,0)</f>
        <v>test_status_call</v>
      </c>
      <c r="C955" t="s">
        <v>217</v>
      </c>
      <c r="D955" t="str">
        <f>VLOOKUP(Table1[[#This Row],[Called Node]],Nodes!A:B,2,0)</f>
        <v>client</v>
      </c>
      <c r="E955" s="3" t="str">
        <f>Table1[[#This Row],[Calling Node]]&amp;" -&gt; "&amp;Table1[[#This Row],[Called Node]]</f>
        <v>test_status_call -&gt; client</v>
      </c>
      <c r="F955">
        <f>VLOOKUP(Table1[[#This Row],[Calling Node]],Nodes!A:D,4,0)</f>
        <v>40</v>
      </c>
      <c r="G955">
        <f>VLOOKUP(Table1[[#This Row],[Calling Node]],Nodes!A:E,5,0)</f>
        <v>3</v>
      </c>
      <c r="H955">
        <f>VLOOKUP(Table1[[#This Row],[Called Node]],Nodes!A:D,4,0)</f>
        <v>25</v>
      </c>
      <c r="I955">
        <f>VLOOKUP(Table1[[#This Row],[Called Node]],Nodes!A:E,5,0)</f>
        <v>3</v>
      </c>
    </row>
    <row r="956" spans="1:9" x14ac:dyDescent="0.3">
      <c r="A956" t="s">
        <v>440</v>
      </c>
      <c r="B956" t="str">
        <f>VLOOKUP(Table1[[#This Row],[Calling Node]],Nodes!A:B,2,0)</f>
        <v>test_status_call</v>
      </c>
      <c r="C956" t="s">
        <v>437</v>
      </c>
      <c r="D956" s="2" t="str">
        <f>VLOOKUP(Table1[[#This Row],[Called Node]],Nodes!A:B,2,0)</f>
        <v>SUSHI_credentials_fixture</v>
      </c>
      <c r="E956" s="3" t="str">
        <f>Table1[[#This Row],[Calling Node]]&amp;" -&gt; "&amp;Table1[[#This Row],[Called Node]]</f>
        <v>test_status_call -&gt; SUSHI_credentials_fixture_in_test_SUSHICallAndResponse</v>
      </c>
      <c r="F956">
        <f>VLOOKUP(Table1[[#This Row],[Calling Node]],Nodes!A:D,4,0)</f>
        <v>40</v>
      </c>
      <c r="G956">
        <f>VLOOKUP(Table1[[#This Row],[Calling Node]],Nodes!A:E,5,0)</f>
        <v>3</v>
      </c>
      <c r="H956">
        <f>VLOOKUP(Table1[[#This Row],[Called Node]],Nodes!A:D,4,0)</f>
        <v>40</v>
      </c>
      <c r="I956">
        <f>VLOOKUP(Table1[[#This Row],[Called Node]],Nodes!A:E,5,0)</f>
        <v>1</v>
      </c>
    </row>
    <row r="957" spans="1:9" x14ac:dyDescent="0.3">
      <c r="A957" t="s">
        <v>440</v>
      </c>
      <c r="B957" t="str">
        <f>VLOOKUP(Table1[[#This Row],[Calling Node]],Nodes!A:B,2,0)</f>
        <v>test_status_call</v>
      </c>
      <c r="C957" t="s">
        <v>439</v>
      </c>
      <c r="D957" t="str">
        <f>VLOOKUP(Table1[[#This Row],[Called Node]],Nodes!A:B,2,0)</f>
        <v>StatisticsSource_instance_name</v>
      </c>
      <c r="E957" s="3" t="str">
        <f>Table1[[#This Row],[Calling Node]]&amp;" -&gt; "&amp;Table1[[#This Row],[Called Node]]</f>
        <v>test_status_call -&gt; StatisticsSource_instance_name</v>
      </c>
      <c r="F957">
        <f>VLOOKUP(Table1[[#This Row],[Calling Node]],Nodes!A:D,4,0)</f>
        <v>40</v>
      </c>
      <c r="G957">
        <f>VLOOKUP(Table1[[#This Row],[Calling Node]],Nodes!A:E,5,0)</f>
        <v>3</v>
      </c>
      <c r="H957">
        <f>VLOOKUP(Table1[[#This Row],[Called Node]],Nodes!A:D,4,0)</f>
        <v>40</v>
      </c>
      <c r="I957">
        <f>VLOOKUP(Table1[[#This Row],[Called Node]],Nodes!A:E,5,0)</f>
        <v>2</v>
      </c>
    </row>
    <row r="958" spans="1:9" x14ac:dyDescent="0.3">
      <c r="A958" t="s">
        <v>441</v>
      </c>
      <c r="B958" t="str">
        <f>VLOOKUP(Table1[[#This Row],[Calling Node]],Nodes!A:B,2,0)</f>
        <v>test_status_call_validity</v>
      </c>
      <c r="C958" t="s">
        <v>57</v>
      </c>
      <c r="D958" t="str">
        <f>VLOOKUP(Table1[[#This Row],[Called Node]],Nodes!A:B,2,0)</f>
        <v>make_SUSHI_call</v>
      </c>
      <c r="E958" s="3" t="str">
        <f>Table1[[#This Row],[Calling Node]]&amp;" -&gt; "&amp;Table1[[#This Row],[Called Node]]</f>
        <v>test_status_call_validity -&gt; make_SUSHI_call</v>
      </c>
      <c r="F958">
        <f>VLOOKUP(Table1[[#This Row],[Calling Node]],Nodes!A:D,4,0)</f>
        <v>40</v>
      </c>
      <c r="G958">
        <f>VLOOKUP(Table1[[#This Row],[Calling Node]],Nodes!A:E,5,0)</f>
        <v>4</v>
      </c>
      <c r="H958">
        <f>VLOOKUP(Table1[[#This Row],[Called Node]],Nodes!A:D,4,0)</f>
        <v>13</v>
      </c>
      <c r="I958">
        <f>VLOOKUP(Table1[[#This Row],[Called Node]],Nodes!A:E,5,0)</f>
        <v>1</v>
      </c>
    </row>
    <row r="959" spans="1:9" x14ac:dyDescent="0.3">
      <c r="A959" t="s">
        <v>441</v>
      </c>
      <c r="B959" t="str">
        <f>VLOOKUP(Table1[[#This Row],[Calling Node]],Nodes!A:B,2,0)</f>
        <v>test_status_call_validity</v>
      </c>
      <c r="C959" t="s">
        <v>217</v>
      </c>
      <c r="D959" t="str">
        <f>VLOOKUP(Table1[[#This Row],[Called Node]],Nodes!A:B,2,0)</f>
        <v>client</v>
      </c>
      <c r="E959" s="3" t="str">
        <f>Table1[[#This Row],[Calling Node]]&amp;" -&gt; "&amp;Table1[[#This Row],[Called Node]]</f>
        <v>test_status_call_validity -&gt; client</v>
      </c>
      <c r="F959">
        <f>VLOOKUP(Table1[[#This Row],[Calling Node]],Nodes!A:D,4,0)</f>
        <v>40</v>
      </c>
      <c r="G959">
        <f>VLOOKUP(Table1[[#This Row],[Calling Node]],Nodes!A:E,5,0)</f>
        <v>4</v>
      </c>
      <c r="H959">
        <f>VLOOKUP(Table1[[#This Row],[Called Node]],Nodes!A:D,4,0)</f>
        <v>25</v>
      </c>
      <c r="I959">
        <f>VLOOKUP(Table1[[#This Row],[Called Node]],Nodes!A:E,5,0)</f>
        <v>3</v>
      </c>
    </row>
    <row r="960" spans="1:9" x14ac:dyDescent="0.3">
      <c r="A960" t="s">
        <v>441</v>
      </c>
      <c r="B960" t="str">
        <f>VLOOKUP(Table1[[#This Row],[Calling Node]],Nodes!A:B,2,0)</f>
        <v>test_status_call_validity</v>
      </c>
      <c r="C960" t="s">
        <v>437</v>
      </c>
      <c r="D960" s="2" t="str">
        <f>VLOOKUP(Table1[[#This Row],[Called Node]],Nodes!A:B,2,0)</f>
        <v>SUSHI_credentials_fixture</v>
      </c>
      <c r="E960" s="3" t="str">
        <f>Table1[[#This Row],[Calling Node]]&amp;" -&gt; "&amp;Table1[[#This Row],[Called Node]]</f>
        <v>test_status_call_validity -&gt; SUSHI_credentials_fixture_in_test_SUSHICallAndResponse</v>
      </c>
      <c r="F960">
        <f>VLOOKUP(Table1[[#This Row],[Calling Node]],Nodes!A:D,4,0)</f>
        <v>40</v>
      </c>
      <c r="G960">
        <f>VLOOKUP(Table1[[#This Row],[Calling Node]],Nodes!A:E,5,0)</f>
        <v>4</v>
      </c>
      <c r="H960">
        <f>VLOOKUP(Table1[[#This Row],[Called Node]],Nodes!A:D,4,0)</f>
        <v>40</v>
      </c>
      <c r="I960">
        <f>VLOOKUP(Table1[[#This Row],[Called Node]],Nodes!A:E,5,0)</f>
        <v>1</v>
      </c>
    </row>
    <row r="961" spans="1:9" x14ac:dyDescent="0.3">
      <c r="A961" t="s">
        <v>441</v>
      </c>
      <c r="B961" t="str">
        <f>VLOOKUP(Table1[[#This Row],[Calling Node]],Nodes!A:B,2,0)</f>
        <v>test_status_call_validity</v>
      </c>
      <c r="C961" t="s">
        <v>439</v>
      </c>
      <c r="D961" t="str">
        <f>VLOOKUP(Table1[[#This Row],[Called Node]],Nodes!A:B,2,0)</f>
        <v>StatisticsSource_instance_name</v>
      </c>
      <c r="E961" s="3" t="str">
        <f>Table1[[#This Row],[Calling Node]]&amp;" -&gt; "&amp;Table1[[#This Row],[Called Node]]</f>
        <v>test_status_call_validity -&gt; StatisticsSource_instance_name</v>
      </c>
      <c r="F961">
        <f>VLOOKUP(Table1[[#This Row],[Calling Node]],Nodes!A:D,4,0)</f>
        <v>40</v>
      </c>
      <c r="G961">
        <f>VLOOKUP(Table1[[#This Row],[Calling Node]],Nodes!A:E,5,0)</f>
        <v>4</v>
      </c>
      <c r="H961">
        <f>VLOOKUP(Table1[[#This Row],[Called Node]],Nodes!A:D,4,0)</f>
        <v>40</v>
      </c>
      <c r="I961">
        <f>VLOOKUP(Table1[[#This Row],[Called Node]],Nodes!A:E,5,0)</f>
        <v>2</v>
      </c>
    </row>
    <row r="962" spans="1:9" x14ac:dyDescent="0.3">
      <c r="A962" t="s">
        <v>442</v>
      </c>
      <c r="B962" t="str">
        <f>VLOOKUP(Table1[[#This Row],[Calling Node]],Nodes!A:B,2,0)</f>
        <v>test_reports_call</v>
      </c>
      <c r="C962" t="s">
        <v>57</v>
      </c>
      <c r="D962" t="str">
        <f>VLOOKUP(Table1[[#This Row],[Called Node]],Nodes!A:B,2,0)</f>
        <v>make_SUSHI_call</v>
      </c>
      <c r="E962" s="3" t="str">
        <f>Table1[[#This Row],[Calling Node]]&amp;" -&gt; "&amp;Table1[[#This Row],[Called Node]]</f>
        <v>test_reports_call -&gt; make_SUSHI_call</v>
      </c>
      <c r="F962">
        <f>VLOOKUP(Table1[[#This Row],[Calling Node]],Nodes!A:D,4,0)</f>
        <v>40</v>
      </c>
      <c r="G962">
        <f>VLOOKUP(Table1[[#This Row],[Calling Node]],Nodes!A:E,5,0)</f>
        <v>5</v>
      </c>
      <c r="H962">
        <f>VLOOKUP(Table1[[#This Row],[Called Node]],Nodes!A:D,4,0)</f>
        <v>13</v>
      </c>
      <c r="I962">
        <f>VLOOKUP(Table1[[#This Row],[Called Node]],Nodes!A:E,5,0)</f>
        <v>1</v>
      </c>
    </row>
    <row r="963" spans="1:9" x14ac:dyDescent="0.3">
      <c r="A963" t="s">
        <v>442</v>
      </c>
      <c r="B963" t="str">
        <f>VLOOKUP(Table1[[#This Row],[Calling Node]],Nodes!A:B,2,0)</f>
        <v>test_reports_call</v>
      </c>
      <c r="C963" t="s">
        <v>155</v>
      </c>
      <c r="D963" t="str">
        <f>VLOOKUP(Table1[[#This Row],[Called Node]],Nodes!A:B,2,0)</f>
        <v>database_function_skip_statements</v>
      </c>
      <c r="E963" s="3" t="str">
        <f>Table1[[#This Row],[Calling Node]]&amp;" -&gt; "&amp;Table1[[#This Row],[Called Node]]</f>
        <v>test_reports_call -&gt; database_function_skip_statements</v>
      </c>
      <c r="F963">
        <f>VLOOKUP(Table1[[#This Row],[Calling Node]],Nodes!A:D,4,0)</f>
        <v>40</v>
      </c>
      <c r="G963">
        <f>VLOOKUP(Table1[[#This Row],[Calling Node]],Nodes!A:E,5,0)</f>
        <v>5</v>
      </c>
      <c r="H963">
        <f>VLOOKUP(Table1[[#This Row],[Called Node]],Nodes!A:D,4,0)</f>
        <v>23</v>
      </c>
      <c r="I963">
        <f>VLOOKUP(Table1[[#This Row],[Called Node]],Nodes!A:E,5,0)</f>
        <v>21</v>
      </c>
    </row>
    <row r="964" spans="1:9" x14ac:dyDescent="0.3">
      <c r="A964" t="s">
        <v>442</v>
      </c>
      <c r="B964" t="str">
        <f>VLOOKUP(Table1[[#This Row],[Calling Node]],Nodes!A:B,2,0)</f>
        <v>test_reports_call</v>
      </c>
      <c r="C964" t="s">
        <v>163</v>
      </c>
      <c r="D964" t="str">
        <f>VLOOKUP(Table1[[#This Row],[Called Node]],Nodes!A:B,2,0)</f>
        <v>reports_with_no_usage_regex</v>
      </c>
      <c r="E964" s="3" t="str">
        <f>Table1[[#This Row],[Calling Node]]&amp;" -&gt; "&amp;Table1[[#This Row],[Called Node]]</f>
        <v>test_reports_call -&gt; reports_with_no_usage_regex</v>
      </c>
      <c r="F964">
        <f>VLOOKUP(Table1[[#This Row],[Calling Node]],Nodes!A:D,4,0)</f>
        <v>40</v>
      </c>
      <c r="G964">
        <f>VLOOKUP(Table1[[#This Row],[Calling Node]],Nodes!A:E,5,0)</f>
        <v>5</v>
      </c>
      <c r="H964">
        <f>VLOOKUP(Table1[[#This Row],[Called Node]],Nodes!A:D,4,0)</f>
        <v>23</v>
      </c>
      <c r="I964">
        <f>VLOOKUP(Table1[[#This Row],[Called Node]],Nodes!A:E,5,0)</f>
        <v>29</v>
      </c>
    </row>
    <row r="965" spans="1:9" x14ac:dyDescent="0.3">
      <c r="A965" t="s">
        <v>442</v>
      </c>
      <c r="B965" t="str">
        <f>VLOOKUP(Table1[[#This Row],[Calling Node]],Nodes!A:B,2,0)</f>
        <v>test_reports_call</v>
      </c>
      <c r="C965" t="s">
        <v>164</v>
      </c>
      <c r="D965" t="str">
        <f>VLOOKUP(Table1[[#This Row],[Called Node]],Nodes!A:B,2,0)</f>
        <v>skip_test_due_to_SUSHI_error_regex</v>
      </c>
      <c r="E965" s="3" t="str">
        <f>Table1[[#This Row],[Calling Node]]&amp;" -&gt; "&amp;Table1[[#This Row],[Called Node]]</f>
        <v>test_reports_call -&gt; skip_test_due_to_SUSHI_error_regex</v>
      </c>
      <c r="F965">
        <f>VLOOKUP(Table1[[#This Row],[Calling Node]],Nodes!A:D,4,0)</f>
        <v>40</v>
      </c>
      <c r="G965">
        <f>VLOOKUP(Table1[[#This Row],[Calling Node]],Nodes!A:E,5,0)</f>
        <v>5</v>
      </c>
      <c r="H965">
        <f>VLOOKUP(Table1[[#This Row],[Called Node]],Nodes!A:D,4,0)</f>
        <v>23</v>
      </c>
      <c r="I965">
        <f>VLOOKUP(Table1[[#This Row],[Called Node]],Nodes!A:E,5,0)</f>
        <v>30</v>
      </c>
    </row>
    <row r="966" spans="1:9" x14ac:dyDescent="0.3">
      <c r="A966" t="s">
        <v>442</v>
      </c>
      <c r="B966" t="str">
        <f>VLOOKUP(Table1[[#This Row],[Calling Node]],Nodes!A:B,2,0)</f>
        <v>test_reports_call</v>
      </c>
      <c r="C966" t="s">
        <v>217</v>
      </c>
      <c r="D966" t="str">
        <f>VLOOKUP(Table1[[#This Row],[Called Node]],Nodes!A:B,2,0)</f>
        <v>client</v>
      </c>
      <c r="E966" s="3" t="str">
        <f>Table1[[#This Row],[Calling Node]]&amp;" -&gt; "&amp;Table1[[#This Row],[Called Node]]</f>
        <v>test_reports_call -&gt; client</v>
      </c>
      <c r="F966">
        <f>VLOOKUP(Table1[[#This Row],[Calling Node]],Nodes!A:D,4,0)</f>
        <v>40</v>
      </c>
      <c r="G966">
        <f>VLOOKUP(Table1[[#This Row],[Calling Node]],Nodes!A:E,5,0)</f>
        <v>5</v>
      </c>
      <c r="H966">
        <f>VLOOKUP(Table1[[#This Row],[Called Node]],Nodes!A:D,4,0)</f>
        <v>25</v>
      </c>
      <c r="I966">
        <f>VLOOKUP(Table1[[#This Row],[Called Node]],Nodes!A:E,5,0)</f>
        <v>3</v>
      </c>
    </row>
    <row r="967" spans="1:9" x14ac:dyDescent="0.3">
      <c r="A967" t="s">
        <v>442</v>
      </c>
      <c r="B967" t="str">
        <f>VLOOKUP(Table1[[#This Row],[Calling Node]],Nodes!A:B,2,0)</f>
        <v>test_reports_call</v>
      </c>
      <c r="C967" t="s">
        <v>437</v>
      </c>
      <c r="D967" s="2" t="str">
        <f>VLOOKUP(Table1[[#This Row],[Called Node]],Nodes!A:B,2,0)</f>
        <v>SUSHI_credentials_fixture</v>
      </c>
      <c r="E967" s="3" t="str">
        <f>Table1[[#This Row],[Calling Node]]&amp;" -&gt; "&amp;Table1[[#This Row],[Called Node]]</f>
        <v>test_reports_call -&gt; SUSHI_credentials_fixture_in_test_SUSHICallAndResponse</v>
      </c>
      <c r="F967">
        <f>VLOOKUP(Table1[[#This Row],[Calling Node]],Nodes!A:D,4,0)</f>
        <v>40</v>
      </c>
      <c r="G967">
        <f>VLOOKUP(Table1[[#This Row],[Calling Node]],Nodes!A:E,5,0)</f>
        <v>5</v>
      </c>
      <c r="H967">
        <f>VLOOKUP(Table1[[#This Row],[Called Node]],Nodes!A:D,4,0)</f>
        <v>40</v>
      </c>
      <c r="I967">
        <f>VLOOKUP(Table1[[#This Row],[Called Node]],Nodes!A:E,5,0)</f>
        <v>1</v>
      </c>
    </row>
    <row r="968" spans="1:9" x14ac:dyDescent="0.3">
      <c r="A968" t="s">
        <v>442</v>
      </c>
      <c r="B968" t="str">
        <f>VLOOKUP(Table1[[#This Row],[Calling Node]],Nodes!A:B,2,0)</f>
        <v>test_reports_call</v>
      </c>
      <c r="C968" t="s">
        <v>439</v>
      </c>
      <c r="D968" t="str">
        <f>VLOOKUP(Table1[[#This Row],[Called Node]],Nodes!A:B,2,0)</f>
        <v>StatisticsSource_instance_name</v>
      </c>
      <c r="E968" s="3" t="str">
        <f>Table1[[#This Row],[Calling Node]]&amp;" -&gt; "&amp;Table1[[#This Row],[Called Node]]</f>
        <v>test_reports_call -&gt; StatisticsSource_instance_name</v>
      </c>
      <c r="F968">
        <f>VLOOKUP(Table1[[#This Row],[Calling Node]],Nodes!A:D,4,0)</f>
        <v>40</v>
      </c>
      <c r="G968">
        <f>VLOOKUP(Table1[[#This Row],[Calling Node]],Nodes!A:E,5,0)</f>
        <v>5</v>
      </c>
      <c r="H968">
        <f>VLOOKUP(Table1[[#This Row],[Called Node]],Nodes!A:D,4,0)</f>
        <v>40</v>
      </c>
      <c r="I968">
        <f>VLOOKUP(Table1[[#This Row],[Called Node]],Nodes!A:E,5,0)</f>
        <v>2</v>
      </c>
    </row>
    <row r="969" spans="1:9" x14ac:dyDescent="0.3">
      <c r="A969" t="s">
        <v>443</v>
      </c>
      <c r="B969" t="str">
        <f>VLOOKUP(Table1[[#This Row],[Calling Node]],Nodes!A:B,2,0)</f>
        <v>test_reports_call_validity</v>
      </c>
      <c r="C969" t="s">
        <v>57</v>
      </c>
      <c r="D969" t="str">
        <f>VLOOKUP(Table1[[#This Row],[Called Node]],Nodes!A:B,2,0)</f>
        <v>make_SUSHI_call</v>
      </c>
      <c r="E969" s="3" t="str">
        <f>Table1[[#This Row],[Calling Node]]&amp;" -&gt; "&amp;Table1[[#This Row],[Called Node]]</f>
        <v>test_reports_call_validity -&gt; make_SUSHI_call</v>
      </c>
      <c r="F969">
        <f>VLOOKUP(Table1[[#This Row],[Calling Node]],Nodes!A:D,4,0)</f>
        <v>40</v>
      </c>
      <c r="G969">
        <f>VLOOKUP(Table1[[#This Row],[Calling Node]],Nodes!A:E,5,0)</f>
        <v>6</v>
      </c>
      <c r="H969">
        <f>VLOOKUP(Table1[[#This Row],[Called Node]],Nodes!A:D,4,0)</f>
        <v>13</v>
      </c>
      <c r="I969">
        <f>VLOOKUP(Table1[[#This Row],[Called Node]],Nodes!A:E,5,0)</f>
        <v>1</v>
      </c>
    </row>
    <row r="970" spans="1:9" x14ac:dyDescent="0.3">
      <c r="A970" t="s">
        <v>443</v>
      </c>
      <c r="B970" t="str">
        <f>VLOOKUP(Table1[[#This Row],[Calling Node]],Nodes!A:B,2,0)</f>
        <v>test_reports_call_validity</v>
      </c>
      <c r="C970" t="s">
        <v>217</v>
      </c>
      <c r="D970" t="str">
        <f>VLOOKUP(Table1[[#This Row],[Called Node]],Nodes!A:B,2,0)</f>
        <v>client</v>
      </c>
      <c r="E970" s="3" t="str">
        <f>Table1[[#This Row],[Calling Node]]&amp;" -&gt; "&amp;Table1[[#This Row],[Called Node]]</f>
        <v>test_reports_call_validity -&gt; client</v>
      </c>
      <c r="F970">
        <f>VLOOKUP(Table1[[#This Row],[Calling Node]],Nodes!A:D,4,0)</f>
        <v>40</v>
      </c>
      <c r="G970">
        <f>VLOOKUP(Table1[[#This Row],[Calling Node]],Nodes!A:E,5,0)</f>
        <v>6</v>
      </c>
      <c r="H970">
        <f>VLOOKUP(Table1[[#This Row],[Called Node]],Nodes!A:D,4,0)</f>
        <v>25</v>
      </c>
      <c r="I970">
        <f>VLOOKUP(Table1[[#This Row],[Called Node]],Nodes!A:E,5,0)</f>
        <v>3</v>
      </c>
    </row>
    <row r="971" spans="1:9" x14ac:dyDescent="0.3">
      <c r="A971" t="s">
        <v>443</v>
      </c>
      <c r="B971" t="str">
        <f>VLOOKUP(Table1[[#This Row],[Calling Node]],Nodes!A:B,2,0)</f>
        <v>test_reports_call_validity</v>
      </c>
      <c r="C971" t="s">
        <v>437</v>
      </c>
      <c r="D971" s="2" t="str">
        <f>VLOOKUP(Table1[[#This Row],[Called Node]],Nodes!A:B,2,0)</f>
        <v>SUSHI_credentials_fixture</v>
      </c>
      <c r="E971" s="3" t="str">
        <f>Table1[[#This Row],[Calling Node]]&amp;" -&gt; "&amp;Table1[[#This Row],[Called Node]]</f>
        <v>test_reports_call_validity -&gt; SUSHI_credentials_fixture_in_test_SUSHICallAndResponse</v>
      </c>
      <c r="F971">
        <f>VLOOKUP(Table1[[#This Row],[Calling Node]],Nodes!A:D,4,0)</f>
        <v>40</v>
      </c>
      <c r="G971">
        <f>VLOOKUP(Table1[[#This Row],[Calling Node]],Nodes!A:E,5,0)</f>
        <v>6</v>
      </c>
      <c r="H971">
        <f>VLOOKUP(Table1[[#This Row],[Called Node]],Nodes!A:D,4,0)</f>
        <v>40</v>
      </c>
      <c r="I971">
        <f>VLOOKUP(Table1[[#This Row],[Called Node]],Nodes!A:E,5,0)</f>
        <v>1</v>
      </c>
    </row>
    <row r="972" spans="1:9" x14ac:dyDescent="0.3">
      <c r="A972" t="s">
        <v>443</v>
      </c>
      <c r="B972" t="str">
        <f>VLOOKUP(Table1[[#This Row],[Calling Node]],Nodes!A:B,2,0)</f>
        <v>test_reports_call_validity</v>
      </c>
      <c r="C972" t="s">
        <v>439</v>
      </c>
      <c r="D972" t="str">
        <f>VLOOKUP(Table1[[#This Row],[Called Node]],Nodes!A:B,2,0)</f>
        <v>StatisticsSource_instance_name</v>
      </c>
      <c r="E972" s="3" t="str">
        <f>Table1[[#This Row],[Calling Node]]&amp;" -&gt; "&amp;Table1[[#This Row],[Called Node]]</f>
        <v>test_reports_call_validity -&gt; StatisticsSource_instance_name</v>
      </c>
      <c r="F972">
        <f>VLOOKUP(Table1[[#This Row],[Calling Node]],Nodes!A:D,4,0)</f>
        <v>40</v>
      </c>
      <c r="G972">
        <f>VLOOKUP(Table1[[#This Row],[Calling Node]],Nodes!A:E,5,0)</f>
        <v>6</v>
      </c>
      <c r="H972">
        <f>VLOOKUP(Table1[[#This Row],[Called Node]],Nodes!A:D,4,0)</f>
        <v>40</v>
      </c>
      <c r="I972">
        <f>VLOOKUP(Table1[[#This Row],[Called Node]],Nodes!A:E,5,0)</f>
        <v>2</v>
      </c>
    </row>
    <row r="973" spans="1:9" x14ac:dyDescent="0.3">
      <c r="A973" t="s">
        <v>444</v>
      </c>
      <c r="B973" t="str">
        <f>VLOOKUP(Table1[[#This Row],[Calling Node]],Nodes!A:B,2,0)</f>
        <v>list_of_reports</v>
      </c>
      <c r="C973" t="s">
        <v>256</v>
      </c>
      <c r="D973" t="str">
        <f>VLOOKUP(Table1[[#This Row],[Called Node]],Nodes!A:B,2,0)</f>
        <v>COUNTER_reports_offered_by_statistics_source</v>
      </c>
      <c r="E973" s="3" t="str">
        <f>Table1[[#This Row],[Calling Node]]&amp;" -&gt; "&amp;Table1[[#This Row],[Called Node]]</f>
        <v>list_of_reports -&gt; COUNTER_reports_offered_by_statistics_source</v>
      </c>
      <c r="F973">
        <f>VLOOKUP(Table1[[#This Row],[Calling Node]],Nodes!A:D,4,0)</f>
        <v>40</v>
      </c>
      <c r="G973">
        <f>VLOOKUP(Table1[[#This Row],[Calling Node]],Nodes!A:E,5,0)</f>
        <v>7</v>
      </c>
      <c r="H973">
        <f>VLOOKUP(Table1[[#This Row],[Called Node]],Nodes!A:D,4,0)</f>
        <v>25</v>
      </c>
      <c r="I973">
        <f>VLOOKUP(Table1[[#This Row],[Called Node]],Nodes!A:E,5,0)</f>
        <v>42</v>
      </c>
    </row>
    <row r="974" spans="1:9" x14ac:dyDescent="0.3">
      <c r="A974" t="s">
        <v>444</v>
      </c>
      <c r="B974" t="str">
        <f>VLOOKUP(Table1[[#This Row],[Calling Node]],Nodes!A:B,2,0)</f>
        <v>list_of_reports</v>
      </c>
      <c r="C974" t="s">
        <v>437</v>
      </c>
      <c r="D974" s="2" t="str">
        <f>VLOOKUP(Table1[[#This Row],[Called Node]],Nodes!A:B,2,0)</f>
        <v>SUSHI_credentials_fixture</v>
      </c>
      <c r="E974" s="3" t="str">
        <f>Table1[[#This Row],[Calling Node]]&amp;" -&gt; "&amp;Table1[[#This Row],[Called Node]]</f>
        <v>list_of_reports -&gt; SUSHI_credentials_fixture_in_test_SUSHICallAndResponse</v>
      </c>
      <c r="F974">
        <f>VLOOKUP(Table1[[#This Row],[Calling Node]],Nodes!A:D,4,0)</f>
        <v>40</v>
      </c>
      <c r="G974">
        <f>VLOOKUP(Table1[[#This Row],[Calling Node]],Nodes!A:E,5,0)</f>
        <v>7</v>
      </c>
      <c r="H974">
        <f>VLOOKUP(Table1[[#This Row],[Called Node]],Nodes!A:D,4,0)</f>
        <v>40</v>
      </c>
      <c r="I974">
        <f>VLOOKUP(Table1[[#This Row],[Called Node]],Nodes!A:E,5,0)</f>
        <v>1</v>
      </c>
    </row>
    <row r="975" spans="1:9" x14ac:dyDescent="0.3">
      <c r="A975" t="s">
        <v>445</v>
      </c>
      <c r="B975" t="str">
        <f>VLOOKUP(Table1[[#This Row],[Calling Node]],Nodes!A:B,2,0)</f>
        <v>test_PR_call_validity</v>
      </c>
      <c r="C975" t="s">
        <v>57</v>
      </c>
      <c r="D975" t="str">
        <f>VLOOKUP(Table1[[#This Row],[Called Node]],Nodes!A:B,2,0)</f>
        <v>make_SUSHI_call</v>
      </c>
      <c r="E975" s="3" t="str">
        <f>Table1[[#This Row],[Calling Node]]&amp;" -&gt; "&amp;Table1[[#This Row],[Called Node]]</f>
        <v>test_PR_call_validity -&gt; make_SUSHI_call</v>
      </c>
      <c r="F975">
        <f>VLOOKUP(Table1[[#This Row],[Calling Node]],Nodes!A:D,4,0)</f>
        <v>40</v>
      </c>
      <c r="G975">
        <f>VLOOKUP(Table1[[#This Row],[Calling Node]],Nodes!A:E,5,0)</f>
        <v>8</v>
      </c>
      <c r="H975">
        <f>VLOOKUP(Table1[[#This Row],[Called Node]],Nodes!A:D,4,0)</f>
        <v>13</v>
      </c>
      <c r="I975">
        <f>VLOOKUP(Table1[[#This Row],[Called Node]],Nodes!A:E,5,0)</f>
        <v>1</v>
      </c>
    </row>
    <row r="976" spans="1:9" x14ac:dyDescent="0.3">
      <c r="A976" t="s">
        <v>445</v>
      </c>
      <c r="B976" t="str">
        <f>VLOOKUP(Table1[[#This Row],[Calling Node]],Nodes!A:B,2,0)</f>
        <v>test_PR_call_validity</v>
      </c>
      <c r="C976" t="s">
        <v>155</v>
      </c>
      <c r="D976" t="str">
        <f>VLOOKUP(Table1[[#This Row],[Called Node]],Nodes!A:B,2,0)</f>
        <v>database_function_skip_statements</v>
      </c>
      <c r="E976" s="3" t="str">
        <f>Table1[[#This Row],[Calling Node]]&amp;" -&gt; "&amp;Table1[[#This Row],[Called Node]]</f>
        <v>test_PR_call_validity -&gt; database_function_skip_statements</v>
      </c>
      <c r="F976">
        <f>VLOOKUP(Table1[[#This Row],[Calling Node]],Nodes!A:D,4,0)</f>
        <v>40</v>
      </c>
      <c r="G976">
        <f>VLOOKUP(Table1[[#This Row],[Calling Node]],Nodes!A:E,5,0)</f>
        <v>8</v>
      </c>
      <c r="H976">
        <f>VLOOKUP(Table1[[#This Row],[Called Node]],Nodes!A:D,4,0)</f>
        <v>23</v>
      </c>
      <c r="I976">
        <f>VLOOKUP(Table1[[#This Row],[Called Node]],Nodes!A:E,5,0)</f>
        <v>21</v>
      </c>
    </row>
    <row r="977" spans="1:9" x14ac:dyDescent="0.3">
      <c r="A977" t="s">
        <v>445</v>
      </c>
      <c r="B977" t="str">
        <f>VLOOKUP(Table1[[#This Row],[Calling Node]],Nodes!A:B,2,0)</f>
        <v>test_PR_call_validity</v>
      </c>
      <c r="C977" t="s">
        <v>163</v>
      </c>
      <c r="D977" t="str">
        <f>VLOOKUP(Table1[[#This Row],[Called Node]],Nodes!A:B,2,0)</f>
        <v>reports_with_no_usage_regex</v>
      </c>
      <c r="E977" s="3" t="str">
        <f>Table1[[#This Row],[Calling Node]]&amp;" -&gt; "&amp;Table1[[#This Row],[Called Node]]</f>
        <v>test_PR_call_validity -&gt; reports_with_no_usage_regex</v>
      </c>
      <c r="F977">
        <f>VLOOKUP(Table1[[#This Row],[Calling Node]],Nodes!A:D,4,0)</f>
        <v>40</v>
      </c>
      <c r="G977">
        <f>VLOOKUP(Table1[[#This Row],[Calling Node]],Nodes!A:E,5,0)</f>
        <v>8</v>
      </c>
      <c r="H977">
        <f>VLOOKUP(Table1[[#This Row],[Called Node]],Nodes!A:D,4,0)</f>
        <v>23</v>
      </c>
      <c r="I977">
        <f>VLOOKUP(Table1[[#This Row],[Called Node]],Nodes!A:E,5,0)</f>
        <v>29</v>
      </c>
    </row>
    <row r="978" spans="1:9" x14ac:dyDescent="0.3">
      <c r="A978" t="s">
        <v>445</v>
      </c>
      <c r="B978" t="str">
        <f>VLOOKUP(Table1[[#This Row],[Calling Node]],Nodes!A:B,2,0)</f>
        <v>test_PR_call_validity</v>
      </c>
      <c r="C978" t="s">
        <v>164</v>
      </c>
      <c r="D978" t="str">
        <f>VLOOKUP(Table1[[#This Row],[Called Node]],Nodes!A:B,2,0)</f>
        <v>skip_test_due_to_SUSHI_error_regex</v>
      </c>
      <c r="E978" s="3" t="str">
        <f>Table1[[#This Row],[Calling Node]]&amp;" -&gt; "&amp;Table1[[#This Row],[Called Node]]</f>
        <v>test_PR_call_validity -&gt; skip_test_due_to_SUSHI_error_regex</v>
      </c>
      <c r="F978">
        <f>VLOOKUP(Table1[[#This Row],[Calling Node]],Nodes!A:D,4,0)</f>
        <v>40</v>
      </c>
      <c r="G978">
        <f>VLOOKUP(Table1[[#This Row],[Calling Node]],Nodes!A:E,5,0)</f>
        <v>8</v>
      </c>
      <c r="H978">
        <f>VLOOKUP(Table1[[#This Row],[Called Node]],Nodes!A:D,4,0)</f>
        <v>23</v>
      </c>
      <c r="I978">
        <f>VLOOKUP(Table1[[#This Row],[Called Node]],Nodes!A:E,5,0)</f>
        <v>30</v>
      </c>
    </row>
    <row r="979" spans="1:9" x14ac:dyDescent="0.3">
      <c r="A979" t="s">
        <v>445</v>
      </c>
      <c r="B979" t="str">
        <f>VLOOKUP(Table1[[#This Row],[Calling Node]],Nodes!A:B,2,0)</f>
        <v>test_PR_call_validity</v>
      </c>
      <c r="C979" t="s">
        <v>217</v>
      </c>
      <c r="D979" t="str">
        <f>VLOOKUP(Table1[[#This Row],[Called Node]],Nodes!A:B,2,0)</f>
        <v>client</v>
      </c>
      <c r="E979" s="3" t="str">
        <f>Table1[[#This Row],[Calling Node]]&amp;" -&gt; "&amp;Table1[[#This Row],[Called Node]]</f>
        <v>test_PR_call_validity -&gt; client</v>
      </c>
      <c r="F979">
        <f>VLOOKUP(Table1[[#This Row],[Calling Node]],Nodes!A:D,4,0)</f>
        <v>40</v>
      </c>
      <c r="G979">
        <f>VLOOKUP(Table1[[#This Row],[Calling Node]],Nodes!A:E,5,0)</f>
        <v>8</v>
      </c>
      <c r="H979">
        <f>VLOOKUP(Table1[[#This Row],[Called Node]],Nodes!A:D,4,0)</f>
        <v>25</v>
      </c>
      <c r="I979">
        <f>VLOOKUP(Table1[[#This Row],[Called Node]],Nodes!A:E,5,0)</f>
        <v>3</v>
      </c>
    </row>
    <row r="980" spans="1:9" x14ac:dyDescent="0.3">
      <c r="A980" t="s">
        <v>445</v>
      </c>
      <c r="B980" t="str">
        <f>VLOOKUP(Table1[[#This Row],[Calling Node]],Nodes!A:B,2,0)</f>
        <v>test_PR_call_validity</v>
      </c>
      <c r="C980" t="s">
        <v>437</v>
      </c>
      <c r="D980" s="2" t="str">
        <f>VLOOKUP(Table1[[#This Row],[Called Node]],Nodes!A:B,2,0)</f>
        <v>SUSHI_credentials_fixture</v>
      </c>
      <c r="E980" s="3" t="str">
        <f>Table1[[#This Row],[Calling Node]]&amp;" -&gt; "&amp;Table1[[#This Row],[Called Node]]</f>
        <v>test_PR_call_validity -&gt; SUSHI_credentials_fixture_in_test_SUSHICallAndResponse</v>
      </c>
      <c r="F980">
        <f>VLOOKUP(Table1[[#This Row],[Calling Node]],Nodes!A:D,4,0)</f>
        <v>40</v>
      </c>
      <c r="G980">
        <f>VLOOKUP(Table1[[#This Row],[Calling Node]],Nodes!A:E,5,0)</f>
        <v>8</v>
      </c>
      <c r="H980">
        <f>VLOOKUP(Table1[[#This Row],[Called Node]],Nodes!A:D,4,0)</f>
        <v>40</v>
      </c>
      <c r="I980">
        <f>VLOOKUP(Table1[[#This Row],[Called Node]],Nodes!A:E,5,0)</f>
        <v>1</v>
      </c>
    </row>
    <row r="981" spans="1:9" x14ac:dyDescent="0.3">
      <c r="A981" t="s">
        <v>445</v>
      </c>
      <c r="B981" t="str">
        <f>VLOOKUP(Table1[[#This Row],[Calling Node]],Nodes!A:B,2,0)</f>
        <v>test_PR_call_validity</v>
      </c>
      <c r="C981" t="s">
        <v>439</v>
      </c>
      <c r="D981" t="str">
        <f>VLOOKUP(Table1[[#This Row],[Called Node]],Nodes!A:B,2,0)</f>
        <v>StatisticsSource_instance_name</v>
      </c>
      <c r="E981" s="3" t="str">
        <f>Table1[[#This Row],[Calling Node]]&amp;" -&gt; "&amp;Table1[[#This Row],[Called Node]]</f>
        <v>test_PR_call_validity -&gt; StatisticsSource_instance_name</v>
      </c>
      <c r="F981">
        <f>VLOOKUP(Table1[[#This Row],[Calling Node]],Nodes!A:D,4,0)</f>
        <v>40</v>
      </c>
      <c r="G981">
        <f>VLOOKUP(Table1[[#This Row],[Calling Node]],Nodes!A:E,5,0)</f>
        <v>8</v>
      </c>
      <c r="H981">
        <f>VLOOKUP(Table1[[#This Row],[Called Node]],Nodes!A:D,4,0)</f>
        <v>40</v>
      </c>
      <c r="I981">
        <f>VLOOKUP(Table1[[#This Row],[Called Node]],Nodes!A:E,5,0)</f>
        <v>2</v>
      </c>
    </row>
    <row r="982" spans="1:9" x14ac:dyDescent="0.3">
      <c r="A982" t="s">
        <v>445</v>
      </c>
      <c r="B982" t="str">
        <f>VLOOKUP(Table1[[#This Row],[Calling Node]],Nodes!A:B,2,0)</f>
        <v>test_PR_call_validity</v>
      </c>
      <c r="C982" t="s">
        <v>444</v>
      </c>
      <c r="D982" t="str">
        <f>VLOOKUP(Table1[[#This Row],[Called Node]],Nodes!A:B,2,0)</f>
        <v>list_of_reports</v>
      </c>
      <c r="E982" s="3" t="str">
        <f>Table1[[#This Row],[Calling Node]]&amp;" -&gt; "&amp;Table1[[#This Row],[Called Node]]</f>
        <v>test_PR_call_validity -&gt; list_of_reports</v>
      </c>
      <c r="F982">
        <f>VLOOKUP(Table1[[#This Row],[Calling Node]],Nodes!A:D,4,0)</f>
        <v>40</v>
      </c>
      <c r="G982">
        <f>VLOOKUP(Table1[[#This Row],[Calling Node]],Nodes!A:E,5,0)</f>
        <v>8</v>
      </c>
      <c r="H982">
        <f>VLOOKUP(Table1[[#This Row],[Called Node]],Nodes!A:D,4,0)</f>
        <v>40</v>
      </c>
      <c r="I982">
        <f>VLOOKUP(Table1[[#This Row],[Called Node]],Nodes!A:E,5,0)</f>
        <v>7</v>
      </c>
    </row>
    <row r="983" spans="1:9" x14ac:dyDescent="0.3">
      <c r="A983" t="s">
        <v>446</v>
      </c>
      <c r="B983" t="str">
        <f>VLOOKUP(Table1[[#This Row],[Calling Node]],Nodes!A:B,2,0)</f>
        <v>test_DR_call_validity</v>
      </c>
      <c r="C983" t="s">
        <v>57</v>
      </c>
      <c r="D983" t="str">
        <f>VLOOKUP(Table1[[#This Row],[Called Node]],Nodes!A:B,2,0)</f>
        <v>make_SUSHI_call</v>
      </c>
      <c r="E983" s="3" t="str">
        <f>Table1[[#This Row],[Calling Node]]&amp;" -&gt; "&amp;Table1[[#This Row],[Called Node]]</f>
        <v>test_DR_call_validity -&gt; make_SUSHI_call</v>
      </c>
      <c r="F983">
        <f>VLOOKUP(Table1[[#This Row],[Calling Node]],Nodes!A:D,4,0)</f>
        <v>40</v>
      </c>
      <c r="G983">
        <f>VLOOKUP(Table1[[#This Row],[Calling Node]],Nodes!A:E,5,0)</f>
        <v>9</v>
      </c>
      <c r="H983">
        <f>VLOOKUP(Table1[[#This Row],[Called Node]],Nodes!A:D,4,0)</f>
        <v>13</v>
      </c>
      <c r="I983">
        <f>VLOOKUP(Table1[[#This Row],[Called Node]],Nodes!A:E,5,0)</f>
        <v>1</v>
      </c>
    </row>
    <row r="984" spans="1:9" x14ac:dyDescent="0.3">
      <c r="A984" t="s">
        <v>446</v>
      </c>
      <c r="B984" t="str">
        <f>VLOOKUP(Table1[[#This Row],[Calling Node]],Nodes!A:B,2,0)</f>
        <v>test_DR_call_validity</v>
      </c>
      <c r="C984" t="s">
        <v>155</v>
      </c>
      <c r="D984" t="str">
        <f>VLOOKUP(Table1[[#This Row],[Called Node]],Nodes!A:B,2,0)</f>
        <v>database_function_skip_statements</v>
      </c>
      <c r="E984" s="3" t="str">
        <f>Table1[[#This Row],[Calling Node]]&amp;" -&gt; "&amp;Table1[[#This Row],[Called Node]]</f>
        <v>test_DR_call_validity -&gt; database_function_skip_statements</v>
      </c>
      <c r="F984">
        <f>VLOOKUP(Table1[[#This Row],[Calling Node]],Nodes!A:D,4,0)</f>
        <v>40</v>
      </c>
      <c r="G984">
        <f>VLOOKUP(Table1[[#This Row],[Calling Node]],Nodes!A:E,5,0)</f>
        <v>9</v>
      </c>
      <c r="H984">
        <f>VLOOKUP(Table1[[#This Row],[Called Node]],Nodes!A:D,4,0)</f>
        <v>23</v>
      </c>
      <c r="I984">
        <f>VLOOKUP(Table1[[#This Row],[Called Node]],Nodes!A:E,5,0)</f>
        <v>21</v>
      </c>
    </row>
    <row r="985" spans="1:9" x14ac:dyDescent="0.3">
      <c r="A985" t="s">
        <v>446</v>
      </c>
      <c r="B985" t="str">
        <f>VLOOKUP(Table1[[#This Row],[Calling Node]],Nodes!A:B,2,0)</f>
        <v>test_DR_call_validity</v>
      </c>
      <c r="C985" t="s">
        <v>163</v>
      </c>
      <c r="D985" t="str">
        <f>VLOOKUP(Table1[[#This Row],[Called Node]],Nodes!A:B,2,0)</f>
        <v>reports_with_no_usage_regex</v>
      </c>
      <c r="E985" s="3" t="str">
        <f>Table1[[#This Row],[Calling Node]]&amp;" -&gt; "&amp;Table1[[#This Row],[Called Node]]</f>
        <v>test_DR_call_validity -&gt; reports_with_no_usage_regex</v>
      </c>
      <c r="F985">
        <f>VLOOKUP(Table1[[#This Row],[Calling Node]],Nodes!A:D,4,0)</f>
        <v>40</v>
      </c>
      <c r="G985">
        <f>VLOOKUP(Table1[[#This Row],[Calling Node]],Nodes!A:E,5,0)</f>
        <v>9</v>
      </c>
      <c r="H985">
        <f>VLOOKUP(Table1[[#This Row],[Called Node]],Nodes!A:D,4,0)</f>
        <v>23</v>
      </c>
      <c r="I985">
        <f>VLOOKUP(Table1[[#This Row],[Called Node]],Nodes!A:E,5,0)</f>
        <v>29</v>
      </c>
    </row>
    <row r="986" spans="1:9" x14ac:dyDescent="0.3">
      <c r="A986" t="s">
        <v>446</v>
      </c>
      <c r="B986" t="str">
        <f>VLOOKUP(Table1[[#This Row],[Calling Node]],Nodes!A:B,2,0)</f>
        <v>test_DR_call_validity</v>
      </c>
      <c r="C986" t="s">
        <v>164</v>
      </c>
      <c r="D986" t="str">
        <f>VLOOKUP(Table1[[#This Row],[Called Node]],Nodes!A:B,2,0)</f>
        <v>skip_test_due_to_SUSHI_error_regex</v>
      </c>
      <c r="E986" s="3" t="str">
        <f>Table1[[#This Row],[Calling Node]]&amp;" -&gt; "&amp;Table1[[#This Row],[Called Node]]</f>
        <v>test_DR_call_validity -&gt; skip_test_due_to_SUSHI_error_regex</v>
      </c>
      <c r="F986">
        <f>VLOOKUP(Table1[[#This Row],[Calling Node]],Nodes!A:D,4,0)</f>
        <v>40</v>
      </c>
      <c r="G986">
        <f>VLOOKUP(Table1[[#This Row],[Calling Node]],Nodes!A:E,5,0)</f>
        <v>9</v>
      </c>
      <c r="H986">
        <f>VLOOKUP(Table1[[#This Row],[Called Node]],Nodes!A:D,4,0)</f>
        <v>23</v>
      </c>
      <c r="I986">
        <f>VLOOKUP(Table1[[#This Row],[Called Node]],Nodes!A:E,5,0)</f>
        <v>30</v>
      </c>
    </row>
    <row r="987" spans="1:9" x14ac:dyDescent="0.3">
      <c r="A987" t="s">
        <v>446</v>
      </c>
      <c r="B987" t="str">
        <f>VLOOKUP(Table1[[#This Row],[Calling Node]],Nodes!A:B,2,0)</f>
        <v>test_DR_call_validity</v>
      </c>
      <c r="C987" t="s">
        <v>217</v>
      </c>
      <c r="D987" t="str">
        <f>VLOOKUP(Table1[[#This Row],[Called Node]],Nodes!A:B,2,0)</f>
        <v>client</v>
      </c>
      <c r="E987" s="3" t="str">
        <f>Table1[[#This Row],[Calling Node]]&amp;" -&gt; "&amp;Table1[[#This Row],[Called Node]]</f>
        <v>test_DR_call_validity -&gt; client</v>
      </c>
      <c r="F987">
        <f>VLOOKUP(Table1[[#This Row],[Calling Node]],Nodes!A:D,4,0)</f>
        <v>40</v>
      </c>
      <c r="G987">
        <f>VLOOKUP(Table1[[#This Row],[Calling Node]],Nodes!A:E,5,0)</f>
        <v>9</v>
      </c>
      <c r="H987">
        <f>VLOOKUP(Table1[[#This Row],[Called Node]],Nodes!A:D,4,0)</f>
        <v>25</v>
      </c>
      <c r="I987">
        <f>VLOOKUP(Table1[[#This Row],[Called Node]],Nodes!A:E,5,0)</f>
        <v>3</v>
      </c>
    </row>
    <row r="988" spans="1:9" x14ac:dyDescent="0.3">
      <c r="A988" t="s">
        <v>446</v>
      </c>
      <c r="B988" t="str">
        <f>VLOOKUP(Table1[[#This Row],[Calling Node]],Nodes!A:B,2,0)</f>
        <v>test_DR_call_validity</v>
      </c>
      <c r="C988" t="s">
        <v>437</v>
      </c>
      <c r="D988" s="2" t="str">
        <f>VLOOKUP(Table1[[#This Row],[Called Node]],Nodes!A:B,2,0)</f>
        <v>SUSHI_credentials_fixture</v>
      </c>
      <c r="E988" s="3" t="str">
        <f>Table1[[#This Row],[Calling Node]]&amp;" -&gt; "&amp;Table1[[#This Row],[Called Node]]</f>
        <v>test_DR_call_validity -&gt; SUSHI_credentials_fixture_in_test_SUSHICallAndResponse</v>
      </c>
      <c r="F988">
        <f>VLOOKUP(Table1[[#This Row],[Calling Node]],Nodes!A:D,4,0)</f>
        <v>40</v>
      </c>
      <c r="G988">
        <f>VLOOKUP(Table1[[#This Row],[Calling Node]],Nodes!A:E,5,0)</f>
        <v>9</v>
      </c>
      <c r="H988">
        <f>VLOOKUP(Table1[[#This Row],[Called Node]],Nodes!A:D,4,0)</f>
        <v>40</v>
      </c>
      <c r="I988">
        <f>VLOOKUP(Table1[[#This Row],[Called Node]],Nodes!A:E,5,0)</f>
        <v>1</v>
      </c>
    </row>
    <row r="989" spans="1:9" x14ac:dyDescent="0.3">
      <c r="A989" t="s">
        <v>446</v>
      </c>
      <c r="B989" t="str">
        <f>VLOOKUP(Table1[[#This Row],[Calling Node]],Nodes!A:B,2,0)</f>
        <v>test_DR_call_validity</v>
      </c>
      <c r="C989" t="s">
        <v>439</v>
      </c>
      <c r="D989" t="str">
        <f>VLOOKUP(Table1[[#This Row],[Called Node]],Nodes!A:B,2,0)</f>
        <v>StatisticsSource_instance_name</v>
      </c>
      <c r="E989" s="3" t="str">
        <f>Table1[[#This Row],[Calling Node]]&amp;" -&gt; "&amp;Table1[[#This Row],[Called Node]]</f>
        <v>test_DR_call_validity -&gt; StatisticsSource_instance_name</v>
      </c>
      <c r="F989">
        <f>VLOOKUP(Table1[[#This Row],[Calling Node]],Nodes!A:D,4,0)</f>
        <v>40</v>
      </c>
      <c r="G989">
        <f>VLOOKUP(Table1[[#This Row],[Calling Node]],Nodes!A:E,5,0)</f>
        <v>9</v>
      </c>
      <c r="H989">
        <f>VLOOKUP(Table1[[#This Row],[Called Node]],Nodes!A:D,4,0)</f>
        <v>40</v>
      </c>
      <c r="I989">
        <f>VLOOKUP(Table1[[#This Row],[Called Node]],Nodes!A:E,5,0)</f>
        <v>2</v>
      </c>
    </row>
    <row r="990" spans="1:9" x14ac:dyDescent="0.3">
      <c r="A990" t="s">
        <v>446</v>
      </c>
      <c r="B990" t="str">
        <f>VLOOKUP(Table1[[#This Row],[Calling Node]],Nodes!A:B,2,0)</f>
        <v>test_DR_call_validity</v>
      </c>
      <c r="C990" t="s">
        <v>444</v>
      </c>
      <c r="D990" t="str">
        <f>VLOOKUP(Table1[[#This Row],[Called Node]],Nodes!A:B,2,0)</f>
        <v>list_of_reports</v>
      </c>
      <c r="E990" s="3" t="str">
        <f>Table1[[#This Row],[Calling Node]]&amp;" -&gt; "&amp;Table1[[#This Row],[Called Node]]</f>
        <v>test_DR_call_validity -&gt; list_of_reports</v>
      </c>
      <c r="F990">
        <f>VLOOKUP(Table1[[#This Row],[Calling Node]],Nodes!A:D,4,0)</f>
        <v>40</v>
      </c>
      <c r="G990">
        <f>VLOOKUP(Table1[[#This Row],[Calling Node]],Nodes!A:E,5,0)</f>
        <v>9</v>
      </c>
      <c r="H990">
        <f>VLOOKUP(Table1[[#This Row],[Called Node]],Nodes!A:D,4,0)</f>
        <v>40</v>
      </c>
      <c r="I990">
        <f>VLOOKUP(Table1[[#This Row],[Called Node]],Nodes!A:E,5,0)</f>
        <v>7</v>
      </c>
    </row>
    <row r="991" spans="1:9" x14ac:dyDescent="0.3">
      <c r="A991" t="s">
        <v>447</v>
      </c>
      <c r="B991" t="str">
        <f>VLOOKUP(Table1[[#This Row],[Calling Node]],Nodes!A:B,2,0)</f>
        <v>test_TR_call_validity</v>
      </c>
      <c r="C991" t="s">
        <v>57</v>
      </c>
      <c r="D991" t="str">
        <f>VLOOKUP(Table1[[#This Row],[Called Node]],Nodes!A:B,2,0)</f>
        <v>make_SUSHI_call</v>
      </c>
      <c r="E991" s="3" t="str">
        <f>Table1[[#This Row],[Calling Node]]&amp;" -&gt; "&amp;Table1[[#This Row],[Called Node]]</f>
        <v>test_TR_call_validity -&gt; make_SUSHI_call</v>
      </c>
      <c r="F991">
        <f>VLOOKUP(Table1[[#This Row],[Calling Node]],Nodes!A:D,4,0)</f>
        <v>40</v>
      </c>
      <c r="G991">
        <f>VLOOKUP(Table1[[#This Row],[Calling Node]],Nodes!A:E,5,0)</f>
        <v>10</v>
      </c>
      <c r="H991">
        <f>VLOOKUP(Table1[[#This Row],[Called Node]],Nodes!A:D,4,0)</f>
        <v>13</v>
      </c>
      <c r="I991">
        <f>VLOOKUP(Table1[[#This Row],[Called Node]],Nodes!A:E,5,0)</f>
        <v>1</v>
      </c>
    </row>
    <row r="992" spans="1:9" x14ac:dyDescent="0.3">
      <c r="A992" t="s">
        <v>447</v>
      </c>
      <c r="B992" t="str">
        <f>VLOOKUP(Table1[[#This Row],[Calling Node]],Nodes!A:B,2,0)</f>
        <v>test_TR_call_validity</v>
      </c>
      <c r="C992" t="s">
        <v>155</v>
      </c>
      <c r="D992" t="str">
        <f>VLOOKUP(Table1[[#This Row],[Called Node]],Nodes!A:B,2,0)</f>
        <v>database_function_skip_statements</v>
      </c>
      <c r="E992" s="3" t="str">
        <f>Table1[[#This Row],[Calling Node]]&amp;" -&gt; "&amp;Table1[[#This Row],[Called Node]]</f>
        <v>test_TR_call_validity -&gt; database_function_skip_statements</v>
      </c>
      <c r="F992">
        <f>VLOOKUP(Table1[[#This Row],[Calling Node]],Nodes!A:D,4,0)</f>
        <v>40</v>
      </c>
      <c r="G992">
        <f>VLOOKUP(Table1[[#This Row],[Calling Node]],Nodes!A:E,5,0)</f>
        <v>10</v>
      </c>
      <c r="H992">
        <f>VLOOKUP(Table1[[#This Row],[Called Node]],Nodes!A:D,4,0)</f>
        <v>23</v>
      </c>
      <c r="I992">
        <f>VLOOKUP(Table1[[#This Row],[Called Node]],Nodes!A:E,5,0)</f>
        <v>21</v>
      </c>
    </row>
    <row r="993" spans="1:9" x14ac:dyDescent="0.3">
      <c r="A993" t="s">
        <v>447</v>
      </c>
      <c r="B993" t="str">
        <f>VLOOKUP(Table1[[#This Row],[Calling Node]],Nodes!A:B,2,0)</f>
        <v>test_TR_call_validity</v>
      </c>
      <c r="C993" t="s">
        <v>163</v>
      </c>
      <c r="D993" t="str">
        <f>VLOOKUP(Table1[[#This Row],[Called Node]],Nodes!A:B,2,0)</f>
        <v>reports_with_no_usage_regex</v>
      </c>
      <c r="E993" s="3" t="str">
        <f>Table1[[#This Row],[Calling Node]]&amp;" -&gt; "&amp;Table1[[#This Row],[Called Node]]</f>
        <v>test_TR_call_validity -&gt; reports_with_no_usage_regex</v>
      </c>
      <c r="F993">
        <f>VLOOKUP(Table1[[#This Row],[Calling Node]],Nodes!A:D,4,0)</f>
        <v>40</v>
      </c>
      <c r="G993">
        <f>VLOOKUP(Table1[[#This Row],[Calling Node]],Nodes!A:E,5,0)</f>
        <v>10</v>
      </c>
      <c r="H993">
        <f>VLOOKUP(Table1[[#This Row],[Called Node]],Nodes!A:D,4,0)</f>
        <v>23</v>
      </c>
      <c r="I993">
        <f>VLOOKUP(Table1[[#This Row],[Called Node]],Nodes!A:E,5,0)</f>
        <v>29</v>
      </c>
    </row>
    <row r="994" spans="1:9" x14ac:dyDescent="0.3">
      <c r="A994" t="s">
        <v>447</v>
      </c>
      <c r="B994" t="str">
        <f>VLOOKUP(Table1[[#This Row],[Calling Node]],Nodes!A:B,2,0)</f>
        <v>test_TR_call_validity</v>
      </c>
      <c r="C994" t="s">
        <v>164</v>
      </c>
      <c r="D994" t="str">
        <f>VLOOKUP(Table1[[#This Row],[Called Node]],Nodes!A:B,2,0)</f>
        <v>skip_test_due_to_SUSHI_error_regex</v>
      </c>
      <c r="E994" s="3" t="str">
        <f>Table1[[#This Row],[Calling Node]]&amp;" -&gt; "&amp;Table1[[#This Row],[Called Node]]</f>
        <v>test_TR_call_validity -&gt; skip_test_due_to_SUSHI_error_regex</v>
      </c>
      <c r="F994">
        <f>VLOOKUP(Table1[[#This Row],[Calling Node]],Nodes!A:D,4,0)</f>
        <v>40</v>
      </c>
      <c r="G994">
        <f>VLOOKUP(Table1[[#This Row],[Calling Node]],Nodes!A:E,5,0)</f>
        <v>10</v>
      </c>
      <c r="H994">
        <f>VLOOKUP(Table1[[#This Row],[Called Node]],Nodes!A:D,4,0)</f>
        <v>23</v>
      </c>
      <c r="I994">
        <f>VLOOKUP(Table1[[#This Row],[Called Node]],Nodes!A:E,5,0)</f>
        <v>30</v>
      </c>
    </row>
    <row r="995" spans="1:9" x14ac:dyDescent="0.3">
      <c r="A995" t="s">
        <v>447</v>
      </c>
      <c r="B995" t="str">
        <f>VLOOKUP(Table1[[#This Row],[Calling Node]],Nodes!A:B,2,0)</f>
        <v>test_TR_call_validity</v>
      </c>
      <c r="C995" t="s">
        <v>217</v>
      </c>
      <c r="D995" t="str">
        <f>VLOOKUP(Table1[[#This Row],[Called Node]],Nodes!A:B,2,0)</f>
        <v>client</v>
      </c>
      <c r="E995" s="3" t="str">
        <f>Table1[[#This Row],[Calling Node]]&amp;" -&gt; "&amp;Table1[[#This Row],[Called Node]]</f>
        <v>test_TR_call_validity -&gt; client</v>
      </c>
      <c r="F995">
        <f>VLOOKUP(Table1[[#This Row],[Calling Node]],Nodes!A:D,4,0)</f>
        <v>40</v>
      </c>
      <c r="G995">
        <f>VLOOKUP(Table1[[#This Row],[Calling Node]],Nodes!A:E,5,0)</f>
        <v>10</v>
      </c>
      <c r="H995">
        <f>VLOOKUP(Table1[[#This Row],[Called Node]],Nodes!A:D,4,0)</f>
        <v>25</v>
      </c>
      <c r="I995">
        <f>VLOOKUP(Table1[[#This Row],[Called Node]],Nodes!A:E,5,0)</f>
        <v>3</v>
      </c>
    </row>
    <row r="996" spans="1:9" x14ac:dyDescent="0.3">
      <c r="A996" t="s">
        <v>447</v>
      </c>
      <c r="B996" t="str">
        <f>VLOOKUP(Table1[[#This Row],[Calling Node]],Nodes!A:B,2,0)</f>
        <v>test_TR_call_validity</v>
      </c>
      <c r="C996" t="s">
        <v>437</v>
      </c>
      <c r="D996" s="2" t="str">
        <f>VLOOKUP(Table1[[#This Row],[Called Node]],Nodes!A:B,2,0)</f>
        <v>SUSHI_credentials_fixture</v>
      </c>
      <c r="E996" s="3" t="str">
        <f>Table1[[#This Row],[Calling Node]]&amp;" -&gt; "&amp;Table1[[#This Row],[Called Node]]</f>
        <v>test_TR_call_validity -&gt; SUSHI_credentials_fixture_in_test_SUSHICallAndResponse</v>
      </c>
      <c r="F996">
        <f>VLOOKUP(Table1[[#This Row],[Calling Node]],Nodes!A:D,4,0)</f>
        <v>40</v>
      </c>
      <c r="G996">
        <f>VLOOKUP(Table1[[#This Row],[Calling Node]],Nodes!A:E,5,0)</f>
        <v>10</v>
      </c>
      <c r="H996">
        <f>VLOOKUP(Table1[[#This Row],[Called Node]],Nodes!A:D,4,0)</f>
        <v>40</v>
      </c>
      <c r="I996">
        <f>VLOOKUP(Table1[[#This Row],[Called Node]],Nodes!A:E,5,0)</f>
        <v>1</v>
      </c>
    </row>
    <row r="997" spans="1:9" x14ac:dyDescent="0.3">
      <c r="A997" t="s">
        <v>447</v>
      </c>
      <c r="B997" t="str">
        <f>VLOOKUP(Table1[[#This Row],[Calling Node]],Nodes!A:B,2,0)</f>
        <v>test_TR_call_validity</v>
      </c>
      <c r="C997" t="s">
        <v>439</v>
      </c>
      <c r="D997" t="str">
        <f>VLOOKUP(Table1[[#This Row],[Called Node]],Nodes!A:B,2,0)</f>
        <v>StatisticsSource_instance_name</v>
      </c>
      <c r="E997" s="3" t="str">
        <f>Table1[[#This Row],[Calling Node]]&amp;" -&gt; "&amp;Table1[[#This Row],[Called Node]]</f>
        <v>test_TR_call_validity -&gt; StatisticsSource_instance_name</v>
      </c>
      <c r="F997">
        <f>VLOOKUP(Table1[[#This Row],[Calling Node]],Nodes!A:D,4,0)</f>
        <v>40</v>
      </c>
      <c r="G997">
        <f>VLOOKUP(Table1[[#This Row],[Calling Node]],Nodes!A:E,5,0)</f>
        <v>10</v>
      </c>
      <c r="H997">
        <f>VLOOKUP(Table1[[#This Row],[Called Node]],Nodes!A:D,4,0)</f>
        <v>40</v>
      </c>
      <c r="I997">
        <f>VLOOKUP(Table1[[#This Row],[Called Node]],Nodes!A:E,5,0)</f>
        <v>2</v>
      </c>
    </row>
    <row r="998" spans="1:9" x14ac:dyDescent="0.3">
      <c r="A998" t="s">
        <v>447</v>
      </c>
      <c r="B998" t="str">
        <f>VLOOKUP(Table1[[#This Row],[Calling Node]],Nodes!A:B,2,0)</f>
        <v>test_TR_call_validity</v>
      </c>
      <c r="C998" t="s">
        <v>444</v>
      </c>
      <c r="D998" t="str">
        <f>VLOOKUP(Table1[[#This Row],[Called Node]],Nodes!A:B,2,0)</f>
        <v>list_of_reports</v>
      </c>
      <c r="E998" s="3" t="str">
        <f>Table1[[#This Row],[Calling Node]]&amp;" -&gt; "&amp;Table1[[#This Row],[Called Node]]</f>
        <v>test_TR_call_validity -&gt; list_of_reports</v>
      </c>
      <c r="F998">
        <f>VLOOKUP(Table1[[#This Row],[Calling Node]],Nodes!A:D,4,0)</f>
        <v>40</v>
      </c>
      <c r="G998">
        <f>VLOOKUP(Table1[[#This Row],[Calling Node]],Nodes!A:E,5,0)</f>
        <v>10</v>
      </c>
      <c r="H998">
        <f>VLOOKUP(Table1[[#This Row],[Called Node]],Nodes!A:D,4,0)</f>
        <v>40</v>
      </c>
      <c r="I998">
        <f>VLOOKUP(Table1[[#This Row],[Called Node]],Nodes!A:E,5,0)</f>
        <v>7</v>
      </c>
    </row>
    <row r="999" spans="1:9" x14ac:dyDescent="0.3">
      <c r="A999" t="s">
        <v>448</v>
      </c>
      <c r="B999" t="str">
        <f>VLOOKUP(Table1[[#This Row],[Calling Node]],Nodes!A:B,2,0)</f>
        <v>test_IR_call_validity</v>
      </c>
      <c r="C999" t="s">
        <v>57</v>
      </c>
      <c r="D999" t="str">
        <f>VLOOKUP(Table1[[#This Row],[Called Node]],Nodes!A:B,2,0)</f>
        <v>make_SUSHI_call</v>
      </c>
      <c r="E999" s="3" t="str">
        <f>Table1[[#This Row],[Calling Node]]&amp;" -&gt; "&amp;Table1[[#This Row],[Called Node]]</f>
        <v>test_IR_call_validity -&gt; make_SUSHI_call</v>
      </c>
      <c r="F999">
        <f>VLOOKUP(Table1[[#This Row],[Calling Node]],Nodes!A:D,4,0)</f>
        <v>40</v>
      </c>
      <c r="G999">
        <f>VLOOKUP(Table1[[#This Row],[Calling Node]],Nodes!A:E,5,0)</f>
        <v>11</v>
      </c>
      <c r="H999">
        <f>VLOOKUP(Table1[[#This Row],[Called Node]],Nodes!A:D,4,0)</f>
        <v>13</v>
      </c>
      <c r="I999">
        <f>VLOOKUP(Table1[[#This Row],[Called Node]],Nodes!A:E,5,0)</f>
        <v>1</v>
      </c>
    </row>
    <row r="1000" spans="1:9" x14ac:dyDescent="0.3">
      <c r="A1000" t="s">
        <v>448</v>
      </c>
      <c r="B1000" t="str">
        <f>VLOOKUP(Table1[[#This Row],[Calling Node]],Nodes!A:B,2,0)</f>
        <v>test_IR_call_validity</v>
      </c>
      <c r="C1000" t="s">
        <v>155</v>
      </c>
      <c r="D1000" t="str">
        <f>VLOOKUP(Table1[[#This Row],[Called Node]],Nodes!A:B,2,0)</f>
        <v>database_function_skip_statements</v>
      </c>
      <c r="E1000" s="3" t="str">
        <f>Table1[[#This Row],[Calling Node]]&amp;" -&gt; "&amp;Table1[[#This Row],[Called Node]]</f>
        <v>test_IR_call_validity -&gt; database_function_skip_statements</v>
      </c>
      <c r="F1000">
        <f>VLOOKUP(Table1[[#This Row],[Calling Node]],Nodes!A:D,4,0)</f>
        <v>40</v>
      </c>
      <c r="G1000">
        <f>VLOOKUP(Table1[[#This Row],[Calling Node]],Nodes!A:E,5,0)</f>
        <v>11</v>
      </c>
      <c r="H1000">
        <f>VLOOKUP(Table1[[#This Row],[Called Node]],Nodes!A:D,4,0)</f>
        <v>23</v>
      </c>
      <c r="I1000">
        <f>VLOOKUP(Table1[[#This Row],[Called Node]],Nodes!A:E,5,0)</f>
        <v>21</v>
      </c>
    </row>
    <row r="1001" spans="1:9" x14ac:dyDescent="0.3">
      <c r="A1001" t="s">
        <v>448</v>
      </c>
      <c r="B1001" t="str">
        <f>VLOOKUP(Table1[[#This Row],[Calling Node]],Nodes!A:B,2,0)</f>
        <v>test_IR_call_validity</v>
      </c>
      <c r="C1001" t="s">
        <v>163</v>
      </c>
      <c r="D1001" t="str">
        <f>VLOOKUP(Table1[[#This Row],[Called Node]],Nodes!A:B,2,0)</f>
        <v>reports_with_no_usage_regex</v>
      </c>
      <c r="E1001" s="3" t="str">
        <f>Table1[[#This Row],[Calling Node]]&amp;" -&gt; "&amp;Table1[[#This Row],[Called Node]]</f>
        <v>test_IR_call_validity -&gt; reports_with_no_usage_regex</v>
      </c>
      <c r="F1001">
        <f>VLOOKUP(Table1[[#This Row],[Calling Node]],Nodes!A:D,4,0)</f>
        <v>40</v>
      </c>
      <c r="G1001">
        <f>VLOOKUP(Table1[[#This Row],[Calling Node]],Nodes!A:E,5,0)</f>
        <v>11</v>
      </c>
      <c r="H1001">
        <f>VLOOKUP(Table1[[#This Row],[Called Node]],Nodes!A:D,4,0)</f>
        <v>23</v>
      </c>
      <c r="I1001">
        <f>VLOOKUP(Table1[[#This Row],[Called Node]],Nodes!A:E,5,0)</f>
        <v>29</v>
      </c>
    </row>
    <row r="1002" spans="1:9" x14ac:dyDescent="0.3">
      <c r="A1002" t="s">
        <v>448</v>
      </c>
      <c r="B1002" t="str">
        <f>VLOOKUP(Table1[[#This Row],[Calling Node]],Nodes!A:B,2,0)</f>
        <v>test_IR_call_validity</v>
      </c>
      <c r="C1002" t="s">
        <v>164</v>
      </c>
      <c r="D1002" t="str">
        <f>VLOOKUP(Table1[[#This Row],[Called Node]],Nodes!A:B,2,0)</f>
        <v>skip_test_due_to_SUSHI_error_regex</v>
      </c>
      <c r="E1002" s="3" t="str">
        <f>Table1[[#This Row],[Calling Node]]&amp;" -&gt; "&amp;Table1[[#This Row],[Called Node]]</f>
        <v>test_IR_call_validity -&gt; skip_test_due_to_SUSHI_error_regex</v>
      </c>
      <c r="F1002">
        <f>VLOOKUP(Table1[[#This Row],[Calling Node]],Nodes!A:D,4,0)</f>
        <v>40</v>
      </c>
      <c r="G1002">
        <f>VLOOKUP(Table1[[#This Row],[Calling Node]],Nodes!A:E,5,0)</f>
        <v>11</v>
      </c>
      <c r="H1002">
        <f>VLOOKUP(Table1[[#This Row],[Called Node]],Nodes!A:D,4,0)</f>
        <v>23</v>
      </c>
      <c r="I1002">
        <f>VLOOKUP(Table1[[#This Row],[Called Node]],Nodes!A:E,5,0)</f>
        <v>30</v>
      </c>
    </row>
    <row r="1003" spans="1:9" x14ac:dyDescent="0.3">
      <c r="A1003" t="s">
        <v>448</v>
      </c>
      <c r="B1003" t="str">
        <f>VLOOKUP(Table1[[#This Row],[Calling Node]],Nodes!A:B,2,0)</f>
        <v>test_IR_call_validity</v>
      </c>
      <c r="C1003" t="s">
        <v>217</v>
      </c>
      <c r="D1003" t="str">
        <f>VLOOKUP(Table1[[#This Row],[Called Node]],Nodes!A:B,2,0)</f>
        <v>client</v>
      </c>
      <c r="E1003" s="3" t="str">
        <f>Table1[[#This Row],[Calling Node]]&amp;" -&gt; "&amp;Table1[[#This Row],[Called Node]]</f>
        <v>test_IR_call_validity -&gt; client</v>
      </c>
      <c r="F1003">
        <f>VLOOKUP(Table1[[#This Row],[Calling Node]],Nodes!A:D,4,0)</f>
        <v>40</v>
      </c>
      <c r="G1003">
        <f>VLOOKUP(Table1[[#This Row],[Calling Node]],Nodes!A:E,5,0)</f>
        <v>11</v>
      </c>
      <c r="H1003">
        <f>VLOOKUP(Table1[[#This Row],[Called Node]],Nodes!A:D,4,0)</f>
        <v>25</v>
      </c>
      <c r="I1003">
        <f>VLOOKUP(Table1[[#This Row],[Called Node]],Nodes!A:E,5,0)</f>
        <v>3</v>
      </c>
    </row>
    <row r="1004" spans="1:9" x14ac:dyDescent="0.3">
      <c r="A1004" t="s">
        <v>448</v>
      </c>
      <c r="B1004" t="str">
        <f>VLOOKUP(Table1[[#This Row],[Calling Node]],Nodes!A:B,2,0)</f>
        <v>test_IR_call_validity</v>
      </c>
      <c r="C1004" t="s">
        <v>437</v>
      </c>
      <c r="D1004" s="2" t="str">
        <f>VLOOKUP(Table1[[#This Row],[Called Node]],Nodes!A:B,2,0)</f>
        <v>SUSHI_credentials_fixture</v>
      </c>
      <c r="E1004" s="3" t="str">
        <f>Table1[[#This Row],[Calling Node]]&amp;" -&gt; "&amp;Table1[[#This Row],[Called Node]]</f>
        <v>test_IR_call_validity -&gt; SUSHI_credentials_fixture_in_test_SUSHICallAndResponse</v>
      </c>
      <c r="F1004">
        <f>VLOOKUP(Table1[[#This Row],[Calling Node]],Nodes!A:D,4,0)</f>
        <v>40</v>
      </c>
      <c r="G1004">
        <f>VLOOKUP(Table1[[#This Row],[Calling Node]],Nodes!A:E,5,0)</f>
        <v>11</v>
      </c>
      <c r="H1004">
        <f>VLOOKUP(Table1[[#This Row],[Called Node]],Nodes!A:D,4,0)</f>
        <v>40</v>
      </c>
      <c r="I1004">
        <f>VLOOKUP(Table1[[#This Row],[Called Node]],Nodes!A:E,5,0)</f>
        <v>1</v>
      </c>
    </row>
    <row r="1005" spans="1:9" x14ac:dyDescent="0.3">
      <c r="A1005" t="s">
        <v>448</v>
      </c>
      <c r="B1005" t="str">
        <f>VLOOKUP(Table1[[#This Row],[Calling Node]],Nodes!A:B,2,0)</f>
        <v>test_IR_call_validity</v>
      </c>
      <c r="C1005" t="s">
        <v>439</v>
      </c>
      <c r="D1005" t="str">
        <f>VLOOKUP(Table1[[#This Row],[Called Node]],Nodes!A:B,2,0)</f>
        <v>StatisticsSource_instance_name</v>
      </c>
      <c r="E1005" s="3" t="str">
        <f>Table1[[#This Row],[Calling Node]]&amp;" -&gt; "&amp;Table1[[#This Row],[Called Node]]</f>
        <v>test_IR_call_validity -&gt; StatisticsSource_instance_name</v>
      </c>
      <c r="F1005">
        <f>VLOOKUP(Table1[[#This Row],[Calling Node]],Nodes!A:D,4,0)</f>
        <v>40</v>
      </c>
      <c r="G1005">
        <f>VLOOKUP(Table1[[#This Row],[Calling Node]],Nodes!A:E,5,0)</f>
        <v>11</v>
      </c>
      <c r="H1005">
        <f>VLOOKUP(Table1[[#This Row],[Called Node]],Nodes!A:D,4,0)</f>
        <v>40</v>
      </c>
      <c r="I1005">
        <f>VLOOKUP(Table1[[#This Row],[Called Node]],Nodes!A:E,5,0)</f>
        <v>2</v>
      </c>
    </row>
    <row r="1006" spans="1:9" x14ac:dyDescent="0.3">
      <c r="A1006" t="s">
        <v>448</v>
      </c>
      <c r="B1006" t="str">
        <f>VLOOKUP(Table1[[#This Row],[Calling Node]],Nodes!A:B,2,0)</f>
        <v>test_IR_call_validity</v>
      </c>
      <c r="C1006" t="s">
        <v>444</v>
      </c>
      <c r="D1006" t="str">
        <f>VLOOKUP(Table1[[#This Row],[Called Node]],Nodes!A:B,2,0)</f>
        <v>list_of_reports</v>
      </c>
      <c r="E1006" s="3" t="str">
        <f>Table1[[#This Row],[Calling Node]]&amp;" -&gt; "&amp;Table1[[#This Row],[Called Node]]</f>
        <v>test_IR_call_validity -&gt; list_of_reports</v>
      </c>
      <c r="F1006">
        <f>VLOOKUP(Table1[[#This Row],[Calling Node]],Nodes!A:D,4,0)</f>
        <v>40</v>
      </c>
      <c r="G1006">
        <f>VLOOKUP(Table1[[#This Row],[Calling Node]],Nodes!A:E,5,0)</f>
        <v>11</v>
      </c>
      <c r="H1006">
        <f>VLOOKUP(Table1[[#This Row],[Called Node]],Nodes!A:D,4,0)</f>
        <v>40</v>
      </c>
      <c r="I1006">
        <f>VLOOKUP(Table1[[#This Row],[Called Node]],Nodes!A:E,5,0)</f>
        <v>7</v>
      </c>
    </row>
    <row r="1007" spans="1:9" x14ac:dyDescent="0.3">
      <c r="A1007" t="s">
        <v>449</v>
      </c>
      <c r="B1007" t="str">
        <f>VLOOKUP(Table1[[#This Row],[Calling Node]],Nodes!A:B,2,0)</f>
        <v>test_call_with_invalid_credentials</v>
      </c>
      <c r="C1007" t="s">
        <v>57</v>
      </c>
      <c r="D1007" t="str">
        <f>VLOOKUP(Table1[[#This Row],[Called Node]],Nodes!A:B,2,0)</f>
        <v>make_SUSHI_call</v>
      </c>
      <c r="E1007" s="3" t="str">
        <f>Table1[[#This Row],[Calling Node]]&amp;" -&gt; "&amp;Table1[[#This Row],[Called Node]]</f>
        <v>test_call_with_invalid_credentials -&gt; make_SUSHI_call</v>
      </c>
      <c r="F1007">
        <f>VLOOKUP(Table1[[#This Row],[Calling Node]],Nodes!A:D,4,0)</f>
        <v>40</v>
      </c>
      <c r="G1007">
        <f>VLOOKUP(Table1[[#This Row],[Calling Node]],Nodes!A:E,5,0)</f>
        <v>12</v>
      </c>
      <c r="H1007">
        <f>VLOOKUP(Table1[[#This Row],[Called Node]],Nodes!A:D,4,0)</f>
        <v>13</v>
      </c>
      <c r="I1007">
        <f>VLOOKUP(Table1[[#This Row],[Called Node]],Nodes!A:E,5,0)</f>
        <v>1</v>
      </c>
    </row>
    <row r="1008" spans="1:9" x14ac:dyDescent="0.3">
      <c r="A1008" t="s">
        <v>449</v>
      </c>
      <c r="B1008" t="str">
        <f>VLOOKUP(Table1[[#This Row],[Calling Node]],Nodes!A:B,2,0)</f>
        <v>test_call_with_invalid_credentials</v>
      </c>
      <c r="C1008" t="s">
        <v>217</v>
      </c>
      <c r="D1008" t="str">
        <f>VLOOKUP(Table1[[#This Row],[Called Node]],Nodes!A:B,2,0)</f>
        <v>client</v>
      </c>
      <c r="E1008" s="3" t="str">
        <f>Table1[[#This Row],[Calling Node]]&amp;" -&gt; "&amp;Table1[[#This Row],[Called Node]]</f>
        <v>test_call_with_invalid_credentials -&gt; client</v>
      </c>
      <c r="F1008">
        <f>VLOOKUP(Table1[[#This Row],[Calling Node]],Nodes!A:D,4,0)</f>
        <v>40</v>
      </c>
      <c r="G1008">
        <f>VLOOKUP(Table1[[#This Row],[Calling Node]],Nodes!A:E,5,0)</f>
        <v>12</v>
      </c>
      <c r="H1008">
        <f>VLOOKUP(Table1[[#This Row],[Called Node]],Nodes!A:D,4,0)</f>
        <v>25</v>
      </c>
      <c r="I1008">
        <f>VLOOKUP(Table1[[#This Row],[Called Node]],Nodes!A:E,5,0)</f>
        <v>3</v>
      </c>
    </row>
    <row r="1009" spans="1:9" x14ac:dyDescent="0.3">
      <c r="A1009" t="s">
        <v>449</v>
      </c>
      <c r="B1009" t="str">
        <f>VLOOKUP(Table1[[#This Row],[Calling Node]],Nodes!A:B,2,0)</f>
        <v>test_call_with_invalid_credentials</v>
      </c>
      <c r="C1009" t="s">
        <v>437</v>
      </c>
      <c r="D1009" s="2" t="str">
        <f>VLOOKUP(Table1[[#This Row],[Called Node]],Nodes!A:B,2,0)</f>
        <v>SUSHI_credentials_fixture</v>
      </c>
      <c r="E1009" s="3" t="str">
        <f>Table1[[#This Row],[Calling Node]]&amp;" -&gt; "&amp;Table1[[#This Row],[Called Node]]</f>
        <v>test_call_with_invalid_credentials -&gt; SUSHI_credentials_fixture_in_test_SUSHICallAndResponse</v>
      </c>
      <c r="F1009">
        <f>VLOOKUP(Table1[[#This Row],[Calling Node]],Nodes!A:D,4,0)</f>
        <v>40</v>
      </c>
      <c r="G1009">
        <f>VLOOKUP(Table1[[#This Row],[Calling Node]],Nodes!A:E,5,0)</f>
        <v>12</v>
      </c>
      <c r="H1009">
        <f>VLOOKUP(Table1[[#This Row],[Called Node]],Nodes!A:D,4,0)</f>
        <v>40</v>
      </c>
      <c r="I1009">
        <f>VLOOKUP(Table1[[#This Row],[Called Node]],Nodes!A:E,5,0)</f>
        <v>1</v>
      </c>
    </row>
    <row r="1010" spans="1:9" x14ac:dyDescent="0.3">
      <c r="A1010" t="s">
        <v>449</v>
      </c>
      <c r="B1010" t="str">
        <f>VLOOKUP(Table1[[#This Row],[Calling Node]],Nodes!A:B,2,0)</f>
        <v>test_call_with_invalid_credentials</v>
      </c>
      <c r="C1010" t="s">
        <v>439</v>
      </c>
      <c r="D1010" t="str">
        <f>VLOOKUP(Table1[[#This Row],[Called Node]],Nodes!A:B,2,0)</f>
        <v>StatisticsSource_instance_name</v>
      </c>
      <c r="E1010" s="3" t="str">
        <f>Table1[[#This Row],[Calling Node]]&amp;" -&gt; "&amp;Table1[[#This Row],[Called Node]]</f>
        <v>test_call_with_invalid_credentials -&gt; StatisticsSource_instance_name</v>
      </c>
      <c r="F1010">
        <f>VLOOKUP(Table1[[#This Row],[Calling Node]],Nodes!A:D,4,0)</f>
        <v>40</v>
      </c>
      <c r="G1010">
        <f>VLOOKUP(Table1[[#This Row],[Calling Node]],Nodes!A:E,5,0)</f>
        <v>12</v>
      </c>
      <c r="H1010">
        <f>VLOOKUP(Table1[[#This Row],[Called Node]],Nodes!A:D,4,0)</f>
        <v>40</v>
      </c>
      <c r="I1010">
        <f>VLOOKUP(Table1[[#This Row],[Called Node]],Nodes!A:E,5,0)</f>
        <v>2</v>
      </c>
    </row>
    <row r="1011" spans="1:9" x14ac:dyDescent="0.3">
      <c r="A1011" t="s">
        <v>451</v>
      </c>
      <c r="B1011" t="str">
        <f>VLOOKUP(Table1[[#This Row],[Calling Node]],Nodes!A:B,2,0)</f>
        <v>sample_COUNTER_report_workbook</v>
      </c>
      <c r="C1011" t="s">
        <v>245</v>
      </c>
      <c r="D1011" t="str">
        <f>VLOOKUP(Table1[[#This Row],[Called Node]],Nodes!A:B,2,0)</f>
        <v>create_COUNTERData_workbook_iterdir_list</v>
      </c>
      <c r="E1011" s="3" t="str">
        <f>Table1[[#This Row],[Calling Node]]&amp;" -&gt; "&amp;Table1[[#This Row],[Called Node]]</f>
        <v>sample_COUNTER_report_workbook -&gt; create_COUNTERData_workbook_iterdir_list</v>
      </c>
      <c r="F1011">
        <f>VLOOKUP(Table1[[#This Row],[Calling Node]],Nodes!A:D,4,0)</f>
        <v>41</v>
      </c>
      <c r="G1011">
        <f>VLOOKUP(Table1[[#This Row],[Calling Node]],Nodes!A:E,5,0)</f>
        <v>1</v>
      </c>
      <c r="H1011">
        <f>VLOOKUP(Table1[[#This Row],[Called Node]],Nodes!A:D,4,0)</f>
        <v>25</v>
      </c>
      <c r="I1011">
        <f>VLOOKUP(Table1[[#This Row],[Called Node]],Nodes!A:E,5,0)</f>
        <v>31</v>
      </c>
    </row>
    <row r="1012" spans="1:9" x14ac:dyDescent="0.3">
      <c r="A1012" t="s">
        <v>452</v>
      </c>
      <c r="B1012" t="str">
        <f>VLOOKUP(Table1[[#This Row],[Calling Node]],Nodes!A:B,2,0)</f>
        <v>test_create_dataframe_from_single_workbook</v>
      </c>
      <c r="C1012" t="s">
        <v>65</v>
      </c>
      <c r="D1012" s="2" t="str">
        <f>VLOOKUP(Table1[[#This Row],[Called Node]],Nodes!A:B,2,0)</f>
        <v>create_dataframe</v>
      </c>
      <c r="E1012" s="3" t="str">
        <f>Table1[[#This Row],[Calling Node]]&amp;" -&gt; "&amp;Table1[[#This Row],[Called Node]]</f>
        <v>test_create_dataframe_from_single_workbook -&gt; create_dataframe_in_UploadCOUNTERReports</v>
      </c>
      <c r="F1012">
        <f>VLOOKUP(Table1[[#This Row],[Calling Node]],Nodes!A:D,4,0)</f>
        <v>41</v>
      </c>
      <c r="G1012">
        <f>VLOOKUP(Table1[[#This Row],[Calling Node]],Nodes!A:E,5,0)</f>
        <v>2</v>
      </c>
      <c r="H1012">
        <f>VLOOKUP(Table1[[#This Row],[Called Node]],Nodes!A:D,4,0)</f>
        <v>14</v>
      </c>
      <c r="I1012">
        <f>VLOOKUP(Table1[[#This Row],[Called Node]],Nodes!A:E,5,0)</f>
        <v>1</v>
      </c>
    </row>
    <row r="1013" spans="1:9" x14ac:dyDescent="0.3">
      <c r="A1013" t="s">
        <v>452</v>
      </c>
      <c r="B1013" t="str">
        <f>VLOOKUP(Table1[[#This Row],[Calling Node]],Nodes!A:B,2,0)</f>
        <v>test_create_dataframe_from_single_workbook</v>
      </c>
      <c r="C1013" t="s">
        <v>244</v>
      </c>
      <c r="D1013" t="str">
        <f>VLOOKUP(Table1[[#This Row],[Called Node]],Nodes!A:B,2,0)</f>
        <v>workbooks_and_relations</v>
      </c>
      <c r="E1013" s="3" t="str">
        <f>Table1[[#This Row],[Calling Node]]&amp;" -&gt; "&amp;Table1[[#This Row],[Called Node]]</f>
        <v>test_create_dataframe_from_single_workbook -&gt; workbooks_and_relations</v>
      </c>
      <c r="F1013">
        <f>VLOOKUP(Table1[[#This Row],[Calling Node]],Nodes!A:D,4,0)</f>
        <v>41</v>
      </c>
      <c r="G1013">
        <f>VLOOKUP(Table1[[#This Row],[Calling Node]],Nodes!A:E,5,0)</f>
        <v>2</v>
      </c>
      <c r="H1013">
        <f>VLOOKUP(Table1[[#This Row],[Called Node]],Nodes!A:D,4,0)</f>
        <v>25</v>
      </c>
      <c r="I1013">
        <f>VLOOKUP(Table1[[#This Row],[Called Node]],Nodes!A:E,5,0)</f>
        <v>30</v>
      </c>
    </row>
    <row r="1014" spans="1:9" x14ac:dyDescent="0.3">
      <c r="A1014" t="s">
        <v>452</v>
      </c>
      <c r="B1014" t="str">
        <f>VLOOKUP(Table1[[#This Row],[Calling Node]],Nodes!A:B,2,0)</f>
        <v>test_create_dataframe_from_single_workbook</v>
      </c>
      <c r="C1014" t="s">
        <v>451</v>
      </c>
      <c r="D1014" t="str">
        <f>VLOOKUP(Table1[[#This Row],[Called Node]],Nodes!A:B,2,0)</f>
        <v>sample_COUNTER_report_workbook</v>
      </c>
      <c r="E1014" s="3" t="str">
        <f>Table1[[#This Row],[Calling Node]]&amp;" -&gt; "&amp;Table1[[#This Row],[Called Node]]</f>
        <v>test_create_dataframe_from_single_workbook -&gt; sample_COUNTER_report_workbook</v>
      </c>
      <c r="F1014">
        <f>VLOOKUP(Table1[[#This Row],[Calling Node]],Nodes!A:D,4,0)</f>
        <v>41</v>
      </c>
      <c r="G1014">
        <f>VLOOKUP(Table1[[#This Row],[Calling Node]],Nodes!A:E,5,0)</f>
        <v>2</v>
      </c>
      <c r="H1014">
        <f>VLOOKUP(Table1[[#This Row],[Called Node]],Nodes!A:D,4,0)</f>
        <v>41</v>
      </c>
      <c r="I1014">
        <f>VLOOKUP(Table1[[#This Row],[Called Node]],Nodes!A:E,5,0)</f>
        <v>1</v>
      </c>
    </row>
    <row r="1015" spans="1:9" x14ac:dyDescent="0.3">
      <c r="A1015" t="s">
        <v>453</v>
      </c>
      <c r="B1015" t="str">
        <f>VLOOKUP(Table1[[#This Row],[Calling Node]],Nodes!A:B,2,0)</f>
        <v>sample_COUNTER_report_workbooks</v>
      </c>
      <c r="C1015" t="s">
        <v>245</v>
      </c>
      <c r="D1015" t="str">
        <f>VLOOKUP(Table1[[#This Row],[Called Node]],Nodes!A:B,2,0)</f>
        <v>create_COUNTERData_workbook_iterdir_list</v>
      </c>
      <c r="E1015" s="3" t="str">
        <f>Table1[[#This Row],[Calling Node]]&amp;" -&gt; "&amp;Table1[[#This Row],[Called Node]]</f>
        <v>sample_COUNTER_report_workbooks -&gt; create_COUNTERData_workbook_iterdir_list</v>
      </c>
      <c r="F1015">
        <f>VLOOKUP(Table1[[#This Row],[Calling Node]],Nodes!A:D,4,0)</f>
        <v>41</v>
      </c>
      <c r="G1015">
        <f>VLOOKUP(Table1[[#This Row],[Calling Node]],Nodes!A:E,5,0)</f>
        <v>3</v>
      </c>
      <c r="H1015">
        <f>VLOOKUP(Table1[[#This Row],[Called Node]],Nodes!A:D,4,0)</f>
        <v>25</v>
      </c>
      <c r="I1015">
        <f>VLOOKUP(Table1[[#This Row],[Called Node]],Nodes!A:E,5,0)</f>
        <v>31</v>
      </c>
    </row>
    <row r="1016" spans="1:9" x14ac:dyDescent="0.3">
      <c r="A1016" t="s">
        <v>454</v>
      </c>
      <c r="B1016" t="str">
        <f>VLOOKUP(Table1[[#This Row],[Calling Node]],Nodes!A:B,2,0)</f>
        <v>test_create_dataframe</v>
      </c>
      <c r="C1016" t="s">
        <v>65</v>
      </c>
      <c r="D1016" s="2" t="str">
        <f>VLOOKUP(Table1[[#This Row],[Called Node]],Nodes!A:B,2,0)</f>
        <v>create_dataframe</v>
      </c>
      <c r="E1016" s="3" t="str">
        <f>Table1[[#This Row],[Calling Node]]&amp;" -&gt; "&amp;Table1[[#This Row],[Called Node]]</f>
        <v>test_create_dataframe -&gt; create_dataframe_in_UploadCOUNTERReports</v>
      </c>
      <c r="F1016">
        <f>VLOOKUP(Table1[[#This Row],[Calling Node]],Nodes!A:D,4,0)</f>
        <v>41</v>
      </c>
      <c r="G1016">
        <f>VLOOKUP(Table1[[#This Row],[Calling Node]],Nodes!A:E,5,0)</f>
        <v>4</v>
      </c>
      <c r="H1016">
        <f>VLOOKUP(Table1[[#This Row],[Called Node]],Nodes!A:D,4,0)</f>
        <v>14</v>
      </c>
      <c r="I1016">
        <f>VLOOKUP(Table1[[#This Row],[Called Node]],Nodes!A:E,5,0)</f>
        <v>1</v>
      </c>
    </row>
    <row r="1017" spans="1:9" x14ac:dyDescent="0.3">
      <c r="A1017" t="s">
        <v>454</v>
      </c>
      <c r="B1017" t="str">
        <f>VLOOKUP(Table1[[#This Row],[Calling Node]],Nodes!A:B,2,0)</f>
        <v>test_create_dataframe</v>
      </c>
      <c r="C1017" t="s">
        <v>246</v>
      </c>
      <c r="D1017" t="str">
        <f>VLOOKUP(Table1[[#This Row],[Called Node]],Nodes!A:B,2,0)</f>
        <v>COUNTERData_relation</v>
      </c>
      <c r="E1017" s="3" t="str">
        <f>Table1[[#This Row],[Calling Node]]&amp;" -&gt; "&amp;Table1[[#This Row],[Called Node]]</f>
        <v>test_create_dataframe -&gt; COUNTERData_relation</v>
      </c>
      <c r="F1017">
        <f>VLOOKUP(Table1[[#This Row],[Calling Node]],Nodes!A:D,4,0)</f>
        <v>41</v>
      </c>
      <c r="G1017">
        <f>VLOOKUP(Table1[[#This Row],[Calling Node]],Nodes!A:E,5,0)</f>
        <v>4</v>
      </c>
      <c r="H1017">
        <f>VLOOKUP(Table1[[#This Row],[Called Node]],Nodes!A:D,4,0)</f>
        <v>25</v>
      </c>
      <c r="I1017">
        <f>VLOOKUP(Table1[[#This Row],[Called Node]],Nodes!A:E,5,0)</f>
        <v>32</v>
      </c>
    </row>
    <row r="1018" spans="1:9" x14ac:dyDescent="0.3">
      <c r="A1018" t="s">
        <v>454</v>
      </c>
      <c r="B1018" t="str">
        <f>VLOOKUP(Table1[[#This Row],[Calling Node]],Nodes!A:B,2,0)</f>
        <v>test_create_dataframe</v>
      </c>
      <c r="C1018" t="s">
        <v>453</v>
      </c>
      <c r="D1018" t="str">
        <f>VLOOKUP(Table1[[#This Row],[Called Node]],Nodes!A:B,2,0)</f>
        <v>sample_COUNTER_report_workbooks</v>
      </c>
      <c r="E1018" s="3" t="str">
        <f>Table1[[#This Row],[Calling Node]]&amp;" -&gt; "&amp;Table1[[#This Row],[Called Node]]</f>
        <v>test_create_dataframe -&gt; sample_COUNTER_report_workbooks</v>
      </c>
      <c r="F1018">
        <f>VLOOKUP(Table1[[#This Row],[Calling Node]],Nodes!A:D,4,0)</f>
        <v>41</v>
      </c>
      <c r="G1018">
        <f>VLOOKUP(Table1[[#This Row],[Calling Node]],Nodes!A:E,5,0)</f>
        <v>4</v>
      </c>
      <c r="H1018">
        <f>VLOOKUP(Table1[[#This Row],[Called Node]],Nodes!A:D,4,0)</f>
        <v>41</v>
      </c>
      <c r="I1018">
        <f>VLOOKUP(Table1[[#This Row],[Called Node]],Nodes!A:E,5,0)</f>
        <v>3</v>
      </c>
    </row>
    <row r="1019" spans="1:9" x14ac:dyDescent="0.3">
      <c r="A1019" t="s">
        <v>456</v>
      </c>
      <c r="B1019" t="str">
        <f>VLOOKUP(Table1[[#This Row],[Calling Node]],Nodes!A:B,2,0)</f>
        <v>test_get_statisticsSources_records</v>
      </c>
      <c r="C1019" t="s">
        <v>24</v>
      </c>
      <c r="D1019" t="str">
        <f>VLOOKUP(Table1[[#This Row],[Called Node]],Nodes!A:B,2,0)</f>
        <v>get_statisticsSources_records</v>
      </c>
      <c r="E1019" s="3" t="str">
        <f>Table1[[#This Row],[Calling Node]]&amp;" -&gt; "&amp;Table1[[#This Row],[Called Node]]</f>
        <v>test_get_statisticsSources_records -&gt; get_statisticsSources_records</v>
      </c>
      <c r="F1019">
        <f>VLOOKUP(Table1[[#This Row],[Calling Node]],Nodes!A:D,4,0)</f>
        <v>42</v>
      </c>
      <c r="G1019">
        <f>VLOOKUP(Table1[[#This Row],[Calling Node]],Nodes!A:E,5,0)</f>
        <v>1</v>
      </c>
      <c r="H1019">
        <f>VLOOKUP(Table1[[#This Row],[Called Node]],Nodes!A:D,4,0)</f>
        <v>4</v>
      </c>
      <c r="I1019">
        <f>VLOOKUP(Table1[[#This Row],[Called Node]],Nodes!A:E,5,0)</f>
        <v>2</v>
      </c>
    </row>
    <row r="1020" spans="1:9" x14ac:dyDescent="0.3">
      <c r="A1020" t="s">
        <v>457</v>
      </c>
      <c r="B1020" t="str">
        <f>VLOOKUP(Table1[[#This Row],[Calling Node]],Nodes!A:B,2,0)</f>
        <v>test_get_resourceSources_records</v>
      </c>
      <c r="C1020" t="s">
        <v>25</v>
      </c>
      <c r="D1020" t="str">
        <f>VLOOKUP(Table1[[#This Row],[Called Node]],Nodes!A:B,2,0)</f>
        <v>get_resourceSources_records</v>
      </c>
      <c r="E1020" s="3" t="str">
        <f>Table1[[#This Row],[Calling Node]]&amp;" -&gt; "&amp;Table1[[#This Row],[Called Node]]</f>
        <v>test_get_resourceSources_records -&gt; get_resourceSources_records</v>
      </c>
      <c r="F1020">
        <f>VLOOKUP(Table1[[#This Row],[Calling Node]],Nodes!A:D,4,0)</f>
        <v>42</v>
      </c>
      <c r="G1020">
        <f>VLOOKUP(Table1[[#This Row],[Calling Node]],Nodes!A:E,5,0)</f>
        <v>2</v>
      </c>
      <c r="H1020">
        <f>VLOOKUP(Table1[[#This Row],[Called Node]],Nodes!A:D,4,0)</f>
        <v>4</v>
      </c>
      <c r="I1020">
        <f>VLOOKUP(Table1[[#This Row],[Called Node]],Nodes!A:E,5,0)</f>
        <v>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1418-BCE9-480F-9AC5-9CD507C26481}">
  <dimension ref="A1:E386"/>
  <sheetViews>
    <sheetView topLeftCell="C1" workbookViewId="0">
      <pane ySplit="1" topLeftCell="A2" activePane="bottomLeft" state="frozen"/>
      <selection pane="bottomLeft" activeCell="C1" sqref="C1:C1048576"/>
    </sheetView>
  </sheetViews>
  <sheetFormatPr defaultRowHeight="14.4" x14ac:dyDescent="0.3"/>
  <cols>
    <col min="1" max="1" width="59.44140625" bestFit="1" customWidth="1"/>
    <col min="2" max="2" width="17.33203125" customWidth="1"/>
    <col min="3" max="3" width="37.33203125" bestFit="1" customWidth="1"/>
    <col min="4" max="4" width="16.33203125" bestFit="1" customWidth="1"/>
    <col min="5" max="5" width="22.33203125" bestFit="1" customWidth="1"/>
  </cols>
  <sheetData>
    <row r="1" spans="1:5" x14ac:dyDescent="0.3">
      <c r="A1" s="1" t="s">
        <v>5</v>
      </c>
      <c r="B1" s="1" t="s">
        <v>4</v>
      </c>
      <c r="C1" s="1" t="s">
        <v>6</v>
      </c>
      <c r="D1" s="1" t="s">
        <v>463</v>
      </c>
      <c r="E1" s="1" t="s">
        <v>460</v>
      </c>
    </row>
    <row r="2" spans="1:5" x14ac:dyDescent="0.3">
      <c r="A2" t="s">
        <v>0</v>
      </c>
      <c r="B2" t="s">
        <v>0</v>
      </c>
      <c r="C2" t="s">
        <v>7</v>
      </c>
      <c r="D2">
        <v>1</v>
      </c>
      <c r="E2">
        <v>1</v>
      </c>
    </row>
    <row r="3" spans="1:5" x14ac:dyDescent="0.3">
      <c r="A3" t="s">
        <v>462</v>
      </c>
      <c r="B3" t="s">
        <v>20</v>
      </c>
      <c r="C3" t="s">
        <v>8</v>
      </c>
      <c r="D3">
        <v>2</v>
      </c>
      <c r="E3">
        <v>1</v>
      </c>
    </row>
    <row r="4" spans="1:5" x14ac:dyDescent="0.3">
      <c r="A4" t="s">
        <v>9</v>
      </c>
      <c r="B4" t="s">
        <v>9</v>
      </c>
      <c r="C4" t="s">
        <v>8</v>
      </c>
      <c r="D4">
        <v>2</v>
      </c>
      <c r="E4">
        <v>2</v>
      </c>
    </row>
    <row r="5" spans="1:5" x14ac:dyDescent="0.3">
      <c r="A5" t="s">
        <v>10</v>
      </c>
      <c r="B5" t="s">
        <v>10</v>
      </c>
      <c r="C5" t="s">
        <v>8</v>
      </c>
      <c r="D5">
        <v>2</v>
      </c>
      <c r="E5">
        <v>3</v>
      </c>
    </row>
    <row r="6" spans="1:5" x14ac:dyDescent="0.3">
      <c r="A6" t="s">
        <v>11</v>
      </c>
      <c r="B6" t="s">
        <v>11</v>
      </c>
      <c r="C6" t="s">
        <v>8</v>
      </c>
      <c r="D6">
        <v>2</v>
      </c>
      <c r="E6">
        <v>4</v>
      </c>
    </row>
    <row r="7" spans="1:5" x14ac:dyDescent="0.3">
      <c r="A7" t="s">
        <v>12</v>
      </c>
      <c r="B7" t="s">
        <v>12</v>
      </c>
      <c r="C7" t="s">
        <v>8</v>
      </c>
      <c r="D7">
        <v>2</v>
      </c>
      <c r="E7">
        <v>5</v>
      </c>
    </row>
    <row r="8" spans="1:5" x14ac:dyDescent="0.3">
      <c r="A8" t="s">
        <v>13</v>
      </c>
      <c r="B8" t="s">
        <v>13</v>
      </c>
      <c r="C8" t="s">
        <v>8</v>
      </c>
      <c r="D8">
        <v>2</v>
      </c>
      <c r="E8">
        <v>6</v>
      </c>
    </row>
    <row r="9" spans="1:5" x14ac:dyDescent="0.3">
      <c r="A9" t="s">
        <v>14</v>
      </c>
      <c r="B9" t="s">
        <v>14</v>
      </c>
      <c r="C9" t="s">
        <v>8</v>
      </c>
      <c r="D9">
        <v>2</v>
      </c>
      <c r="E9">
        <v>7</v>
      </c>
    </row>
    <row r="10" spans="1:5" x14ac:dyDescent="0.3">
      <c r="A10" t="s">
        <v>15</v>
      </c>
      <c r="B10" t="s">
        <v>15</v>
      </c>
      <c r="C10" t="s">
        <v>8</v>
      </c>
      <c r="D10">
        <v>2</v>
      </c>
      <c r="E10">
        <v>8</v>
      </c>
    </row>
    <row r="11" spans="1:5" x14ac:dyDescent="0.3">
      <c r="A11" t="s">
        <v>16</v>
      </c>
      <c r="B11" t="s">
        <v>16</v>
      </c>
      <c r="C11" t="s">
        <v>8</v>
      </c>
      <c r="D11">
        <v>2</v>
      </c>
      <c r="E11">
        <v>9</v>
      </c>
    </row>
    <row r="12" spans="1:5" x14ac:dyDescent="0.3">
      <c r="A12" t="s">
        <v>17</v>
      </c>
      <c r="B12" t="s">
        <v>17</v>
      </c>
      <c r="C12" t="s">
        <v>8</v>
      </c>
      <c r="D12">
        <v>2</v>
      </c>
      <c r="E12">
        <v>10</v>
      </c>
    </row>
    <row r="13" spans="1:5" x14ac:dyDescent="0.3">
      <c r="A13" t="s">
        <v>19</v>
      </c>
      <c r="B13" t="s">
        <v>20</v>
      </c>
      <c r="C13" t="s">
        <v>18</v>
      </c>
      <c r="D13">
        <v>3</v>
      </c>
      <c r="E13">
        <v>1</v>
      </c>
    </row>
    <row r="14" spans="1:5" x14ac:dyDescent="0.3">
      <c r="A14" t="s">
        <v>21</v>
      </c>
      <c r="B14" t="s">
        <v>21</v>
      </c>
      <c r="C14" t="s">
        <v>18</v>
      </c>
      <c r="D14">
        <v>3</v>
      </c>
      <c r="E14">
        <v>2</v>
      </c>
    </row>
    <row r="15" spans="1:5" x14ac:dyDescent="0.3">
      <c r="A15" t="s">
        <v>23</v>
      </c>
      <c r="B15" t="s">
        <v>20</v>
      </c>
      <c r="C15" t="s">
        <v>22</v>
      </c>
      <c r="D15">
        <v>4</v>
      </c>
      <c r="E15">
        <v>1</v>
      </c>
    </row>
    <row r="16" spans="1:5" x14ac:dyDescent="0.3">
      <c r="A16" t="s">
        <v>24</v>
      </c>
      <c r="B16" t="s">
        <v>24</v>
      </c>
      <c r="C16" t="s">
        <v>22</v>
      </c>
      <c r="D16">
        <v>4</v>
      </c>
      <c r="E16">
        <v>2</v>
      </c>
    </row>
    <row r="17" spans="1:5" x14ac:dyDescent="0.3">
      <c r="A17" t="s">
        <v>25</v>
      </c>
      <c r="B17" t="s">
        <v>25</v>
      </c>
      <c r="C17" t="s">
        <v>22</v>
      </c>
      <c r="D17">
        <v>4</v>
      </c>
      <c r="E17">
        <v>3</v>
      </c>
    </row>
    <row r="18" spans="1:5" x14ac:dyDescent="0.3">
      <c r="A18" t="s">
        <v>26</v>
      </c>
      <c r="B18" t="s">
        <v>27</v>
      </c>
      <c r="C18" t="s">
        <v>22</v>
      </c>
      <c r="D18">
        <v>4</v>
      </c>
      <c r="E18">
        <v>4</v>
      </c>
    </row>
    <row r="19" spans="1:5" x14ac:dyDescent="0.3">
      <c r="A19" t="s">
        <v>29</v>
      </c>
      <c r="B19" t="s">
        <v>20</v>
      </c>
      <c r="C19" t="s">
        <v>28</v>
      </c>
      <c r="D19">
        <v>5</v>
      </c>
      <c r="E19">
        <v>1</v>
      </c>
    </row>
    <row r="20" spans="1:5" x14ac:dyDescent="0.3">
      <c r="A20" t="s">
        <v>31</v>
      </c>
      <c r="B20" t="s">
        <v>20</v>
      </c>
      <c r="C20" t="s">
        <v>30</v>
      </c>
      <c r="D20">
        <v>6</v>
      </c>
      <c r="E20">
        <v>1</v>
      </c>
    </row>
    <row r="21" spans="1:5" x14ac:dyDescent="0.3">
      <c r="A21" t="s">
        <v>1</v>
      </c>
      <c r="B21" t="s">
        <v>1</v>
      </c>
      <c r="C21" t="s">
        <v>30</v>
      </c>
      <c r="D21">
        <v>6</v>
      </c>
      <c r="E21">
        <v>2</v>
      </c>
    </row>
    <row r="22" spans="1:5" x14ac:dyDescent="0.3">
      <c r="A22" t="s">
        <v>32</v>
      </c>
      <c r="B22" t="s">
        <v>32</v>
      </c>
      <c r="C22" t="s">
        <v>30</v>
      </c>
      <c r="D22">
        <v>6</v>
      </c>
      <c r="E22">
        <v>3</v>
      </c>
    </row>
    <row r="23" spans="1:5" x14ac:dyDescent="0.3">
      <c r="A23" t="s">
        <v>33</v>
      </c>
      <c r="B23" t="s">
        <v>33</v>
      </c>
      <c r="C23" t="s">
        <v>30</v>
      </c>
      <c r="D23">
        <v>6</v>
      </c>
      <c r="E23">
        <v>4</v>
      </c>
    </row>
    <row r="24" spans="1:5" x14ac:dyDescent="0.3">
      <c r="A24" t="s">
        <v>34</v>
      </c>
      <c r="B24" t="s">
        <v>34</v>
      </c>
      <c r="C24" t="s">
        <v>30</v>
      </c>
      <c r="D24">
        <v>6</v>
      </c>
      <c r="E24">
        <v>5</v>
      </c>
    </row>
    <row r="25" spans="1:5" x14ac:dyDescent="0.3">
      <c r="A25" t="s">
        <v>35</v>
      </c>
      <c r="B25" t="s">
        <v>35</v>
      </c>
      <c r="C25" t="s">
        <v>30</v>
      </c>
      <c r="D25">
        <v>6</v>
      </c>
      <c r="E25">
        <v>6</v>
      </c>
    </row>
    <row r="26" spans="1:5" x14ac:dyDescent="0.3">
      <c r="A26" t="s">
        <v>36</v>
      </c>
      <c r="B26" t="s">
        <v>27</v>
      </c>
      <c r="C26" t="s">
        <v>30</v>
      </c>
      <c r="D26">
        <v>6</v>
      </c>
      <c r="E26">
        <v>7</v>
      </c>
    </row>
    <row r="27" spans="1:5" x14ac:dyDescent="0.3">
      <c r="A27" t="s">
        <v>38</v>
      </c>
      <c r="B27" t="s">
        <v>20</v>
      </c>
      <c r="C27" t="s">
        <v>37</v>
      </c>
      <c r="D27">
        <v>7</v>
      </c>
      <c r="E27">
        <v>1</v>
      </c>
    </row>
    <row r="28" spans="1:5" x14ac:dyDescent="0.3">
      <c r="A28" t="s">
        <v>40</v>
      </c>
      <c r="B28" t="s">
        <v>20</v>
      </c>
      <c r="C28" t="s">
        <v>39</v>
      </c>
      <c r="D28">
        <v>8</v>
      </c>
      <c r="E28">
        <v>1</v>
      </c>
    </row>
    <row r="29" spans="1:5" x14ac:dyDescent="0.3">
      <c r="A29" t="s">
        <v>41</v>
      </c>
      <c r="B29" t="s">
        <v>41</v>
      </c>
      <c r="C29" t="s">
        <v>39</v>
      </c>
      <c r="D29">
        <v>8</v>
      </c>
      <c r="E29">
        <v>2</v>
      </c>
    </row>
    <row r="30" spans="1:5" x14ac:dyDescent="0.3">
      <c r="A30" t="s">
        <v>42</v>
      </c>
      <c r="B30" t="s">
        <v>42</v>
      </c>
      <c r="C30" t="s">
        <v>39</v>
      </c>
      <c r="D30">
        <v>8</v>
      </c>
      <c r="E30">
        <v>3</v>
      </c>
    </row>
    <row r="31" spans="1:5" x14ac:dyDescent="0.3">
      <c r="A31" t="s">
        <v>43</v>
      </c>
      <c r="B31" t="s">
        <v>43</v>
      </c>
      <c r="C31" t="s">
        <v>39</v>
      </c>
      <c r="D31">
        <v>8</v>
      </c>
      <c r="E31">
        <v>4</v>
      </c>
    </row>
    <row r="32" spans="1:5" x14ac:dyDescent="0.3">
      <c r="A32" t="s">
        <v>44</v>
      </c>
      <c r="B32" t="s">
        <v>27</v>
      </c>
      <c r="C32" t="s">
        <v>39</v>
      </c>
      <c r="D32">
        <v>8</v>
      </c>
      <c r="E32">
        <v>5</v>
      </c>
    </row>
    <row r="33" spans="1:5" x14ac:dyDescent="0.3">
      <c r="A33" t="s">
        <v>46</v>
      </c>
      <c r="B33" t="s">
        <v>20</v>
      </c>
      <c r="C33" t="s">
        <v>45</v>
      </c>
      <c r="D33">
        <v>9</v>
      </c>
      <c r="E33">
        <v>1</v>
      </c>
    </row>
    <row r="34" spans="1:5" x14ac:dyDescent="0.3">
      <c r="A34" t="s">
        <v>48</v>
      </c>
      <c r="B34" t="s">
        <v>20</v>
      </c>
      <c r="C34" t="s">
        <v>47</v>
      </c>
      <c r="D34">
        <v>10</v>
      </c>
      <c r="E34">
        <v>1</v>
      </c>
    </row>
    <row r="35" spans="1:5" x14ac:dyDescent="0.3">
      <c r="A35" t="s">
        <v>50</v>
      </c>
      <c r="B35" t="s">
        <v>20</v>
      </c>
      <c r="C35" t="s">
        <v>49</v>
      </c>
      <c r="D35">
        <v>11</v>
      </c>
      <c r="E35">
        <v>1</v>
      </c>
    </row>
    <row r="36" spans="1:5" x14ac:dyDescent="0.3">
      <c r="A36" t="s">
        <v>51</v>
      </c>
      <c r="B36" t="s">
        <v>51</v>
      </c>
      <c r="C36" t="s">
        <v>49</v>
      </c>
      <c r="D36">
        <v>11</v>
      </c>
      <c r="E36">
        <v>2</v>
      </c>
    </row>
    <row r="37" spans="1:5" x14ac:dyDescent="0.3">
      <c r="A37" t="s">
        <v>52</v>
      </c>
      <c r="B37" t="s">
        <v>52</v>
      </c>
      <c r="C37" t="s">
        <v>49</v>
      </c>
      <c r="D37">
        <v>11</v>
      </c>
      <c r="E37">
        <v>3</v>
      </c>
    </row>
    <row r="38" spans="1:5" x14ac:dyDescent="0.3">
      <c r="A38" t="s">
        <v>53</v>
      </c>
      <c r="B38" t="s">
        <v>53</v>
      </c>
      <c r="C38" t="s">
        <v>49</v>
      </c>
      <c r="D38">
        <v>11</v>
      </c>
      <c r="E38">
        <v>4</v>
      </c>
    </row>
    <row r="39" spans="1:5" x14ac:dyDescent="0.3">
      <c r="A39" t="s">
        <v>55</v>
      </c>
      <c r="B39" t="s">
        <v>20</v>
      </c>
      <c r="C39" t="s">
        <v>54</v>
      </c>
      <c r="D39">
        <v>12</v>
      </c>
      <c r="E39">
        <v>1</v>
      </c>
    </row>
    <row r="40" spans="1:5" x14ac:dyDescent="0.3">
      <c r="A40" t="s">
        <v>57</v>
      </c>
      <c r="B40" t="s">
        <v>57</v>
      </c>
      <c r="C40" t="s">
        <v>56</v>
      </c>
      <c r="D40">
        <v>13</v>
      </c>
      <c r="E40">
        <v>1</v>
      </c>
    </row>
    <row r="41" spans="1:5" x14ac:dyDescent="0.3">
      <c r="A41" t="s">
        <v>58</v>
      </c>
      <c r="B41" t="s">
        <v>58</v>
      </c>
      <c r="C41" t="s">
        <v>56</v>
      </c>
      <c r="D41">
        <v>13</v>
      </c>
      <c r="E41">
        <v>2</v>
      </c>
    </row>
    <row r="42" spans="1:5" x14ac:dyDescent="0.3">
      <c r="A42" t="s">
        <v>59</v>
      </c>
      <c r="B42" t="s">
        <v>59</v>
      </c>
      <c r="C42" t="s">
        <v>56</v>
      </c>
      <c r="D42">
        <v>13</v>
      </c>
      <c r="E42">
        <v>3</v>
      </c>
    </row>
    <row r="43" spans="1:5" x14ac:dyDescent="0.3">
      <c r="A43" t="s">
        <v>60</v>
      </c>
      <c r="B43" t="s">
        <v>60</v>
      </c>
      <c r="C43" t="s">
        <v>56</v>
      </c>
      <c r="D43">
        <v>13</v>
      </c>
      <c r="E43">
        <v>4</v>
      </c>
    </row>
    <row r="44" spans="1:5" x14ac:dyDescent="0.3">
      <c r="A44" t="s">
        <v>61</v>
      </c>
      <c r="B44" t="s">
        <v>61</v>
      </c>
      <c r="C44" t="s">
        <v>56</v>
      </c>
      <c r="D44">
        <v>13</v>
      </c>
      <c r="E44">
        <v>5</v>
      </c>
    </row>
    <row r="45" spans="1:5" x14ac:dyDescent="0.3">
      <c r="A45" t="s">
        <v>62</v>
      </c>
      <c r="B45" t="s">
        <v>62</v>
      </c>
      <c r="C45" t="s">
        <v>56</v>
      </c>
      <c r="D45">
        <v>13</v>
      </c>
      <c r="E45">
        <v>6</v>
      </c>
    </row>
    <row r="46" spans="1:5" x14ac:dyDescent="0.3">
      <c r="A46" t="s">
        <v>63</v>
      </c>
      <c r="B46" t="s">
        <v>63</v>
      </c>
      <c r="C46" t="s">
        <v>56</v>
      </c>
      <c r="D46">
        <v>13</v>
      </c>
      <c r="E46">
        <v>7</v>
      </c>
    </row>
    <row r="47" spans="1:5" x14ac:dyDescent="0.3">
      <c r="A47" t="s">
        <v>65</v>
      </c>
      <c r="B47" t="s">
        <v>66</v>
      </c>
      <c r="C47" t="s">
        <v>64</v>
      </c>
      <c r="D47">
        <v>14</v>
      </c>
      <c r="E47">
        <v>1</v>
      </c>
    </row>
    <row r="48" spans="1:5" x14ac:dyDescent="0.3">
      <c r="A48" t="s">
        <v>68</v>
      </c>
      <c r="B48" t="s">
        <v>66</v>
      </c>
      <c r="C48" t="s">
        <v>67</v>
      </c>
      <c r="D48">
        <v>15</v>
      </c>
      <c r="E48">
        <v>1</v>
      </c>
    </row>
    <row r="49" spans="1:5" x14ac:dyDescent="0.3">
      <c r="A49" t="s">
        <v>69</v>
      </c>
      <c r="B49" t="s">
        <v>69</v>
      </c>
      <c r="C49" t="s">
        <v>67</v>
      </c>
      <c r="D49">
        <v>15</v>
      </c>
      <c r="E49">
        <v>2</v>
      </c>
    </row>
    <row r="50" spans="1:5" x14ac:dyDescent="0.3">
      <c r="A50" t="s">
        <v>70</v>
      </c>
      <c r="B50" t="s">
        <v>70</v>
      </c>
      <c r="C50" t="s">
        <v>67</v>
      </c>
      <c r="D50">
        <v>15</v>
      </c>
      <c r="E50">
        <v>3</v>
      </c>
    </row>
    <row r="51" spans="1:5" x14ac:dyDescent="0.3">
      <c r="A51" t="s">
        <v>71</v>
      </c>
      <c r="B51" t="s">
        <v>71</v>
      </c>
      <c r="C51" t="s">
        <v>67</v>
      </c>
      <c r="D51">
        <v>15</v>
      </c>
      <c r="E51">
        <v>4</v>
      </c>
    </row>
    <row r="52" spans="1:5" x14ac:dyDescent="0.3">
      <c r="A52" t="s">
        <v>73</v>
      </c>
      <c r="B52" t="s">
        <v>73</v>
      </c>
      <c r="C52" t="s">
        <v>72</v>
      </c>
      <c r="D52">
        <v>16</v>
      </c>
      <c r="E52">
        <v>1</v>
      </c>
    </row>
    <row r="53" spans="1:5" x14ac:dyDescent="0.3">
      <c r="A53" t="s">
        <v>74</v>
      </c>
      <c r="B53" t="s">
        <v>74</v>
      </c>
      <c r="C53" t="s">
        <v>72</v>
      </c>
      <c r="D53">
        <v>16</v>
      </c>
      <c r="E53">
        <v>2</v>
      </c>
    </row>
    <row r="54" spans="1:5" x14ac:dyDescent="0.3">
      <c r="A54" t="s">
        <v>76</v>
      </c>
      <c r="B54" t="s">
        <v>76</v>
      </c>
      <c r="C54" t="s">
        <v>75</v>
      </c>
      <c r="D54">
        <v>17</v>
      </c>
      <c r="E54">
        <v>1</v>
      </c>
    </row>
    <row r="55" spans="1:5" x14ac:dyDescent="0.3">
      <c r="A55" t="s">
        <v>77</v>
      </c>
      <c r="B55" t="s">
        <v>77</v>
      </c>
      <c r="C55" t="s">
        <v>75</v>
      </c>
      <c r="D55">
        <v>17</v>
      </c>
      <c r="E55">
        <v>2</v>
      </c>
    </row>
    <row r="56" spans="1:5" x14ac:dyDescent="0.3">
      <c r="A56" t="s">
        <v>78</v>
      </c>
      <c r="B56" t="s">
        <v>78</v>
      </c>
      <c r="C56" t="s">
        <v>75</v>
      </c>
      <c r="D56">
        <v>17</v>
      </c>
      <c r="E56">
        <v>3</v>
      </c>
    </row>
    <row r="57" spans="1:5" x14ac:dyDescent="0.3">
      <c r="A57" t="s">
        <v>79</v>
      </c>
      <c r="B57" t="s">
        <v>79</v>
      </c>
      <c r="C57" t="s">
        <v>75</v>
      </c>
      <c r="D57">
        <v>17</v>
      </c>
      <c r="E57">
        <v>4</v>
      </c>
    </row>
    <row r="58" spans="1:5" x14ac:dyDescent="0.3">
      <c r="A58" t="s">
        <v>81</v>
      </c>
      <c r="B58" t="s">
        <v>81</v>
      </c>
      <c r="C58" t="s">
        <v>80</v>
      </c>
      <c r="D58">
        <v>18</v>
      </c>
      <c r="E58">
        <v>1</v>
      </c>
    </row>
    <row r="59" spans="1:5" x14ac:dyDescent="0.3">
      <c r="A59" t="s">
        <v>82</v>
      </c>
      <c r="B59" t="s">
        <v>82</v>
      </c>
      <c r="C59" t="s">
        <v>80</v>
      </c>
      <c r="D59">
        <v>18</v>
      </c>
      <c r="E59">
        <v>2</v>
      </c>
    </row>
    <row r="60" spans="1:5" x14ac:dyDescent="0.3">
      <c r="A60" t="s">
        <v>83</v>
      </c>
      <c r="B60" t="s">
        <v>83</v>
      </c>
      <c r="C60" t="s">
        <v>80</v>
      </c>
      <c r="D60">
        <v>18</v>
      </c>
      <c r="E60">
        <v>3</v>
      </c>
    </row>
    <row r="61" spans="1:5" x14ac:dyDescent="0.3">
      <c r="A61" t="s">
        <v>84</v>
      </c>
      <c r="B61" t="s">
        <v>84</v>
      </c>
      <c r="C61" t="s">
        <v>80</v>
      </c>
      <c r="D61">
        <v>18</v>
      </c>
      <c r="E61">
        <v>4</v>
      </c>
    </row>
    <row r="62" spans="1:5" x14ac:dyDescent="0.3">
      <c r="A62" t="s">
        <v>85</v>
      </c>
      <c r="B62" t="s">
        <v>85</v>
      </c>
      <c r="C62" t="s">
        <v>80</v>
      </c>
      <c r="D62">
        <v>18</v>
      </c>
      <c r="E62">
        <v>5</v>
      </c>
    </row>
    <row r="63" spans="1:5" x14ac:dyDescent="0.3">
      <c r="A63" t="s">
        <v>87</v>
      </c>
      <c r="B63" t="s">
        <v>87</v>
      </c>
      <c r="C63" t="s">
        <v>86</v>
      </c>
      <c r="D63">
        <v>19</v>
      </c>
      <c r="E63">
        <v>1</v>
      </c>
    </row>
    <row r="64" spans="1:5" x14ac:dyDescent="0.3">
      <c r="A64" t="s">
        <v>89</v>
      </c>
      <c r="B64" t="s">
        <v>89</v>
      </c>
      <c r="C64" t="s">
        <v>88</v>
      </c>
      <c r="D64">
        <v>20</v>
      </c>
      <c r="E64">
        <v>1</v>
      </c>
    </row>
    <row r="65" spans="1:5" x14ac:dyDescent="0.3">
      <c r="A65" t="s">
        <v>90</v>
      </c>
      <c r="B65" t="s">
        <v>90</v>
      </c>
      <c r="C65" t="s">
        <v>88</v>
      </c>
      <c r="D65">
        <v>20</v>
      </c>
      <c r="E65">
        <v>2</v>
      </c>
    </row>
    <row r="66" spans="1:5" x14ac:dyDescent="0.3">
      <c r="A66" t="s">
        <v>91</v>
      </c>
      <c r="B66" t="s">
        <v>91</v>
      </c>
      <c r="C66" t="s">
        <v>88</v>
      </c>
      <c r="D66">
        <v>20</v>
      </c>
      <c r="E66">
        <v>3</v>
      </c>
    </row>
    <row r="67" spans="1:5" x14ac:dyDescent="0.3">
      <c r="A67" t="s">
        <v>93</v>
      </c>
      <c r="B67" t="s">
        <v>93</v>
      </c>
      <c r="C67" t="s">
        <v>92</v>
      </c>
      <c r="D67">
        <v>21</v>
      </c>
      <c r="E67">
        <v>1</v>
      </c>
    </row>
    <row r="68" spans="1:5" x14ac:dyDescent="0.3">
      <c r="A68" t="s">
        <v>94</v>
      </c>
      <c r="B68" t="s">
        <v>94</v>
      </c>
      <c r="C68" t="s">
        <v>92</v>
      </c>
      <c r="D68">
        <v>21</v>
      </c>
      <c r="E68">
        <v>2</v>
      </c>
    </row>
    <row r="69" spans="1:5" x14ac:dyDescent="0.3">
      <c r="A69" t="s">
        <v>95</v>
      </c>
      <c r="B69" t="s">
        <v>95</v>
      </c>
      <c r="C69" t="s">
        <v>92</v>
      </c>
      <c r="D69">
        <v>21</v>
      </c>
      <c r="E69">
        <v>3</v>
      </c>
    </row>
    <row r="70" spans="1:5" x14ac:dyDescent="0.3">
      <c r="A70" t="s">
        <v>96</v>
      </c>
      <c r="B70" t="s">
        <v>96</v>
      </c>
      <c r="C70" t="s">
        <v>92</v>
      </c>
      <c r="D70">
        <v>21</v>
      </c>
      <c r="E70">
        <v>4</v>
      </c>
    </row>
    <row r="71" spans="1:5" x14ac:dyDescent="0.3">
      <c r="A71" t="s">
        <v>97</v>
      </c>
      <c r="B71" t="s">
        <v>97</v>
      </c>
      <c r="C71" t="s">
        <v>92</v>
      </c>
      <c r="D71">
        <v>21</v>
      </c>
      <c r="E71">
        <v>5</v>
      </c>
    </row>
    <row r="72" spans="1:5" x14ac:dyDescent="0.3">
      <c r="A72" t="s">
        <v>98</v>
      </c>
      <c r="B72" t="s">
        <v>98</v>
      </c>
      <c r="C72" t="s">
        <v>92</v>
      </c>
      <c r="D72">
        <v>21</v>
      </c>
      <c r="E72">
        <v>6</v>
      </c>
    </row>
    <row r="73" spans="1:5" x14ac:dyDescent="0.3">
      <c r="A73" t="s">
        <v>99</v>
      </c>
      <c r="B73" t="s">
        <v>99</v>
      </c>
      <c r="C73" t="s">
        <v>92</v>
      </c>
      <c r="D73">
        <v>21</v>
      </c>
      <c r="E73">
        <v>7</v>
      </c>
    </row>
    <row r="74" spans="1:5" x14ac:dyDescent="0.3">
      <c r="A74" t="s">
        <v>100</v>
      </c>
      <c r="B74" t="s">
        <v>100</v>
      </c>
      <c r="C74" t="s">
        <v>92</v>
      </c>
      <c r="D74">
        <v>21</v>
      </c>
      <c r="E74">
        <v>8</v>
      </c>
    </row>
    <row r="75" spans="1:5" x14ac:dyDescent="0.3">
      <c r="A75" t="s">
        <v>101</v>
      </c>
      <c r="B75" t="s">
        <v>101</v>
      </c>
      <c r="C75" t="s">
        <v>92</v>
      </c>
      <c r="D75">
        <v>21</v>
      </c>
      <c r="E75">
        <v>9</v>
      </c>
    </row>
    <row r="76" spans="1:5" x14ac:dyDescent="0.3">
      <c r="A76" t="s">
        <v>102</v>
      </c>
      <c r="B76" t="s">
        <v>102</v>
      </c>
      <c r="C76" t="s">
        <v>92</v>
      </c>
      <c r="D76">
        <v>21</v>
      </c>
      <c r="E76">
        <v>10</v>
      </c>
    </row>
    <row r="77" spans="1:5" x14ac:dyDescent="0.3">
      <c r="A77" t="s">
        <v>103</v>
      </c>
      <c r="B77" t="s">
        <v>103</v>
      </c>
      <c r="C77" t="s">
        <v>92</v>
      </c>
      <c r="D77">
        <v>21</v>
      </c>
      <c r="E77">
        <v>11</v>
      </c>
    </row>
    <row r="78" spans="1:5" x14ac:dyDescent="0.3">
      <c r="A78" t="s">
        <v>104</v>
      </c>
      <c r="B78" t="s">
        <v>104</v>
      </c>
      <c r="C78" t="s">
        <v>92</v>
      </c>
      <c r="D78">
        <v>21</v>
      </c>
      <c r="E78">
        <v>12</v>
      </c>
    </row>
    <row r="79" spans="1:5" x14ac:dyDescent="0.3">
      <c r="A79" t="s">
        <v>105</v>
      </c>
      <c r="B79" t="s">
        <v>105</v>
      </c>
      <c r="C79" t="s">
        <v>92</v>
      </c>
      <c r="D79">
        <v>21</v>
      </c>
      <c r="E79">
        <v>13</v>
      </c>
    </row>
    <row r="80" spans="1:5" x14ac:dyDescent="0.3">
      <c r="A80" t="s">
        <v>107</v>
      </c>
      <c r="B80" t="s">
        <v>107</v>
      </c>
      <c r="C80" t="s">
        <v>106</v>
      </c>
      <c r="D80">
        <v>22</v>
      </c>
      <c r="E80">
        <v>1</v>
      </c>
    </row>
    <row r="81" spans="1:5" x14ac:dyDescent="0.3">
      <c r="A81" t="s">
        <v>108</v>
      </c>
      <c r="B81" t="s">
        <v>108</v>
      </c>
      <c r="C81" t="s">
        <v>106</v>
      </c>
      <c r="D81">
        <v>22</v>
      </c>
      <c r="E81">
        <v>2</v>
      </c>
    </row>
    <row r="82" spans="1:5" x14ac:dyDescent="0.3">
      <c r="A82" t="s">
        <v>109</v>
      </c>
      <c r="B82" t="s">
        <v>109</v>
      </c>
      <c r="C82" t="s">
        <v>106</v>
      </c>
      <c r="D82">
        <v>22</v>
      </c>
      <c r="E82">
        <v>3</v>
      </c>
    </row>
    <row r="83" spans="1:5" x14ac:dyDescent="0.3">
      <c r="A83" t="s">
        <v>110</v>
      </c>
      <c r="B83" t="s">
        <v>110</v>
      </c>
      <c r="C83" t="s">
        <v>106</v>
      </c>
      <c r="D83">
        <v>22</v>
      </c>
      <c r="E83">
        <v>4</v>
      </c>
    </row>
    <row r="84" spans="1:5" x14ac:dyDescent="0.3">
      <c r="A84" t="s">
        <v>111</v>
      </c>
      <c r="B84" t="s">
        <v>111</v>
      </c>
      <c r="C84" t="s">
        <v>106</v>
      </c>
      <c r="D84">
        <v>22</v>
      </c>
      <c r="E84">
        <v>5</v>
      </c>
    </row>
    <row r="85" spans="1:5" x14ac:dyDescent="0.3">
      <c r="A85" t="s">
        <v>112</v>
      </c>
      <c r="B85" t="s">
        <v>112</v>
      </c>
      <c r="C85" t="s">
        <v>106</v>
      </c>
      <c r="D85">
        <v>22</v>
      </c>
      <c r="E85">
        <v>6</v>
      </c>
    </row>
    <row r="86" spans="1:5" x14ac:dyDescent="0.3">
      <c r="A86" t="s">
        <v>113</v>
      </c>
      <c r="B86" t="s">
        <v>113</v>
      </c>
      <c r="C86" t="s">
        <v>106</v>
      </c>
      <c r="D86">
        <v>22</v>
      </c>
      <c r="E86">
        <v>7</v>
      </c>
    </row>
    <row r="87" spans="1:5" x14ac:dyDescent="0.3">
      <c r="A87" t="s">
        <v>114</v>
      </c>
      <c r="B87" t="s">
        <v>114</v>
      </c>
      <c r="C87" t="s">
        <v>106</v>
      </c>
      <c r="D87">
        <v>22</v>
      </c>
      <c r="E87">
        <v>8</v>
      </c>
    </row>
    <row r="88" spans="1:5" x14ac:dyDescent="0.3">
      <c r="A88" t="s">
        <v>115</v>
      </c>
      <c r="B88" t="s">
        <v>115</v>
      </c>
      <c r="C88" t="s">
        <v>106</v>
      </c>
      <c r="D88">
        <v>22</v>
      </c>
      <c r="E88">
        <v>9</v>
      </c>
    </row>
    <row r="89" spans="1:5" x14ac:dyDescent="0.3">
      <c r="A89" t="s">
        <v>116</v>
      </c>
      <c r="B89" t="s">
        <v>116</v>
      </c>
      <c r="C89" t="s">
        <v>106</v>
      </c>
      <c r="D89">
        <v>22</v>
      </c>
      <c r="E89">
        <v>10</v>
      </c>
    </row>
    <row r="90" spans="1:5" x14ac:dyDescent="0.3">
      <c r="A90" t="s">
        <v>117</v>
      </c>
      <c r="B90" t="s">
        <v>117</v>
      </c>
      <c r="C90" t="s">
        <v>106</v>
      </c>
      <c r="D90">
        <v>22</v>
      </c>
      <c r="E90">
        <v>11</v>
      </c>
    </row>
    <row r="91" spans="1:5" x14ac:dyDescent="0.3">
      <c r="A91" t="s">
        <v>118</v>
      </c>
      <c r="B91" t="s">
        <v>118</v>
      </c>
      <c r="C91" t="s">
        <v>106</v>
      </c>
      <c r="D91">
        <v>22</v>
      </c>
      <c r="E91">
        <v>12</v>
      </c>
    </row>
    <row r="92" spans="1:5" x14ac:dyDescent="0.3">
      <c r="A92" t="s">
        <v>119</v>
      </c>
      <c r="B92" t="s">
        <v>119</v>
      </c>
      <c r="C92" t="s">
        <v>106</v>
      </c>
      <c r="D92">
        <v>22</v>
      </c>
      <c r="E92">
        <v>13</v>
      </c>
    </row>
    <row r="93" spans="1:5" x14ac:dyDescent="0.3">
      <c r="A93" t="s">
        <v>120</v>
      </c>
      <c r="B93" t="s">
        <v>120</v>
      </c>
      <c r="C93" t="s">
        <v>106</v>
      </c>
      <c r="D93">
        <v>22</v>
      </c>
      <c r="E93">
        <v>14</v>
      </c>
    </row>
    <row r="94" spans="1:5" x14ac:dyDescent="0.3">
      <c r="A94" t="s">
        <v>121</v>
      </c>
      <c r="B94" t="s">
        <v>121</v>
      </c>
      <c r="C94" t="s">
        <v>106</v>
      </c>
      <c r="D94">
        <v>22</v>
      </c>
      <c r="E94">
        <v>15</v>
      </c>
    </row>
    <row r="95" spans="1:5" x14ac:dyDescent="0.3">
      <c r="A95" t="s">
        <v>122</v>
      </c>
      <c r="B95" t="s">
        <v>122</v>
      </c>
      <c r="C95" t="s">
        <v>106</v>
      </c>
      <c r="D95">
        <v>22</v>
      </c>
      <c r="E95">
        <v>16</v>
      </c>
    </row>
    <row r="96" spans="1:5" x14ac:dyDescent="0.3">
      <c r="A96" t="s">
        <v>123</v>
      </c>
      <c r="B96" t="s">
        <v>123</v>
      </c>
      <c r="C96" t="s">
        <v>106</v>
      </c>
      <c r="D96">
        <v>22</v>
      </c>
      <c r="E96">
        <v>17</v>
      </c>
    </row>
    <row r="97" spans="1:5" x14ac:dyDescent="0.3">
      <c r="A97" t="s">
        <v>124</v>
      </c>
      <c r="B97" t="s">
        <v>124</v>
      </c>
      <c r="C97" t="s">
        <v>106</v>
      </c>
      <c r="D97">
        <v>22</v>
      </c>
      <c r="E97">
        <v>18</v>
      </c>
    </row>
    <row r="98" spans="1:5" x14ac:dyDescent="0.3">
      <c r="A98" t="s">
        <v>125</v>
      </c>
      <c r="B98" t="s">
        <v>125</v>
      </c>
      <c r="C98" t="s">
        <v>106</v>
      </c>
      <c r="D98">
        <v>22</v>
      </c>
      <c r="E98">
        <v>19</v>
      </c>
    </row>
    <row r="99" spans="1:5" x14ac:dyDescent="0.3">
      <c r="A99" t="s">
        <v>126</v>
      </c>
      <c r="B99" t="s">
        <v>126</v>
      </c>
      <c r="C99" t="s">
        <v>106</v>
      </c>
      <c r="D99">
        <v>22</v>
      </c>
      <c r="E99">
        <v>20</v>
      </c>
    </row>
    <row r="100" spans="1:5" x14ac:dyDescent="0.3">
      <c r="A100" t="s">
        <v>127</v>
      </c>
      <c r="B100" t="s">
        <v>127</v>
      </c>
      <c r="C100" t="s">
        <v>106</v>
      </c>
      <c r="D100">
        <v>22</v>
      </c>
      <c r="E100">
        <v>21</v>
      </c>
    </row>
    <row r="101" spans="1:5" x14ac:dyDescent="0.3">
      <c r="A101" t="s">
        <v>128</v>
      </c>
      <c r="B101" t="s">
        <v>128</v>
      </c>
      <c r="C101" t="s">
        <v>106</v>
      </c>
      <c r="D101">
        <v>22</v>
      </c>
      <c r="E101">
        <v>22</v>
      </c>
    </row>
    <row r="102" spans="1:5" x14ac:dyDescent="0.3">
      <c r="A102" t="s">
        <v>129</v>
      </c>
      <c r="B102" t="s">
        <v>129</v>
      </c>
      <c r="C102" t="s">
        <v>106</v>
      </c>
      <c r="D102">
        <v>22</v>
      </c>
      <c r="E102">
        <v>23</v>
      </c>
    </row>
    <row r="103" spans="1:5" x14ac:dyDescent="0.3">
      <c r="A103" t="s">
        <v>130</v>
      </c>
      <c r="B103" t="s">
        <v>130</v>
      </c>
      <c r="C103" t="s">
        <v>106</v>
      </c>
      <c r="D103">
        <v>22</v>
      </c>
      <c r="E103">
        <v>24</v>
      </c>
    </row>
    <row r="104" spans="1:5" x14ac:dyDescent="0.3">
      <c r="A104" t="s">
        <v>131</v>
      </c>
      <c r="B104" t="s">
        <v>131</v>
      </c>
      <c r="C104" t="s">
        <v>106</v>
      </c>
      <c r="D104">
        <v>22</v>
      </c>
      <c r="E104">
        <v>25</v>
      </c>
    </row>
    <row r="105" spans="1:5" x14ac:dyDescent="0.3">
      <c r="A105" t="s">
        <v>132</v>
      </c>
      <c r="B105" t="s">
        <v>132</v>
      </c>
      <c r="C105" t="s">
        <v>106</v>
      </c>
      <c r="D105">
        <v>22</v>
      </c>
      <c r="E105">
        <v>26</v>
      </c>
    </row>
    <row r="106" spans="1:5" x14ac:dyDescent="0.3">
      <c r="A106" t="s">
        <v>133</v>
      </c>
      <c r="B106" t="s">
        <v>133</v>
      </c>
      <c r="C106" t="s">
        <v>106</v>
      </c>
      <c r="D106">
        <v>22</v>
      </c>
      <c r="E106">
        <v>27</v>
      </c>
    </row>
    <row r="107" spans="1:5" x14ac:dyDescent="0.3">
      <c r="A107" t="s">
        <v>135</v>
      </c>
      <c r="B107" t="s">
        <v>135</v>
      </c>
      <c r="C107" t="s">
        <v>134</v>
      </c>
      <c r="D107">
        <v>23</v>
      </c>
      <c r="E107">
        <v>1</v>
      </c>
    </row>
    <row r="108" spans="1:5" x14ac:dyDescent="0.3">
      <c r="A108" t="s">
        <v>136</v>
      </c>
      <c r="B108" t="s">
        <v>136</v>
      </c>
      <c r="C108" t="s">
        <v>134</v>
      </c>
      <c r="D108">
        <v>23</v>
      </c>
      <c r="E108">
        <v>2</v>
      </c>
    </row>
    <row r="109" spans="1:5" x14ac:dyDescent="0.3">
      <c r="A109" t="s">
        <v>137</v>
      </c>
      <c r="B109" t="s">
        <v>137</v>
      </c>
      <c r="C109" t="s">
        <v>134</v>
      </c>
      <c r="D109">
        <v>23</v>
      </c>
      <c r="E109">
        <v>3</v>
      </c>
    </row>
    <row r="110" spans="1:5" x14ac:dyDescent="0.3">
      <c r="A110" t="s">
        <v>138</v>
      </c>
      <c r="B110" t="s">
        <v>138</v>
      </c>
      <c r="C110" t="s">
        <v>134</v>
      </c>
      <c r="D110">
        <v>23</v>
      </c>
      <c r="E110">
        <v>4</v>
      </c>
    </row>
    <row r="111" spans="1:5" x14ac:dyDescent="0.3">
      <c r="A111" t="s">
        <v>139</v>
      </c>
      <c r="B111" t="s">
        <v>139</v>
      </c>
      <c r="C111" t="s">
        <v>134</v>
      </c>
      <c r="D111">
        <v>23</v>
      </c>
      <c r="E111">
        <v>5</v>
      </c>
    </row>
    <row r="112" spans="1:5" x14ac:dyDescent="0.3">
      <c r="A112" t="s">
        <v>140</v>
      </c>
      <c r="B112" t="s">
        <v>140</v>
      </c>
      <c r="C112" t="s">
        <v>134</v>
      </c>
      <c r="D112">
        <v>23</v>
      </c>
      <c r="E112">
        <v>6</v>
      </c>
    </row>
    <row r="113" spans="1:5" x14ac:dyDescent="0.3">
      <c r="A113" t="s">
        <v>141</v>
      </c>
      <c r="B113" t="s">
        <v>141</v>
      </c>
      <c r="C113" t="s">
        <v>134</v>
      </c>
      <c r="D113">
        <v>23</v>
      </c>
      <c r="E113">
        <v>7</v>
      </c>
    </row>
    <row r="114" spans="1:5" x14ac:dyDescent="0.3">
      <c r="A114" t="s">
        <v>142</v>
      </c>
      <c r="B114" t="s">
        <v>142</v>
      </c>
      <c r="C114" t="s">
        <v>134</v>
      </c>
      <c r="D114">
        <v>23</v>
      </c>
      <c r="E114">
        <v>8</v>
      </c>
    </row>
    <row r="115" spans="1:5" x14ac:dyDescent="0.3">
      <c r="A115" t="s">
        <v>143</v>
      </c>
      <c r="B115" t="s">
        <v>143</v>
      </c>
      <c r="C115" t="s">
        <v>134</v>
      </c>
      <c r="D115">
        <v>23</v>
      </c>
      <c r="E115">
        <v>9</v>
      </c>
    </row>
    <row r="116" spans="1:5" x14ac:dyDescent="0.3">
      <c r="A116" t="s">
        <v>144</v>
      </c>
      <c r="B116" t="s">
        <v>144</v>
      </c>
      <c r="C116" t="s">
        <v>134</v>
      </c>
      <c r="D116">
        <v>23</v>
      </c>
      <c r="E116">
        <v>10</v>
      </c>
    </row>
    <row r="117" spans="1:5" x14ac:dyDescent="0.3">
      <c r="A117" t="s">
        <v>145</v>
      </c>
      <c r="B117" t="s">
        <v>145</v>
      </c>
      <c r="C117" t="s">
        <v>134</v>
      </c>
      <c r="D117">
        <v>23</v>
      </c>
      <c r="E117">
        <v>11</v>
      </c>
    </row>
    <row r="118" spans="1:5" x14ac:dyDescent="0.3">
      <c r="A118" t="s">
        <v>146</v>
      </c>
      <c r="B118" t="s">
        <v>146</v>
      </c>
      <c r="C118" t="s">
        <v>134</v>
      </c>
      <c r="D118">
        <v>23</v>
      </c>
      <c r="E118">
        <v>12</v>
      </c>
    </row>
    <row r="119" spans="1:5" x14ac:dyDescent="0.3">
      <c r="A119" t="s">
        <v>147</v>
      </c>
      <c r="B119" t="s">
        <v>147</v>
      </c>
      <c r="C119" t="s">
        <v>134</v>
      </c>
      <c r="D119">
        <v>23</v>
      </c>
      <c r="E119">
        <v>13</v>
      </c>
    </row>
    <row r="120" spans="1:5" x14ac:dyDescent="0.3">
      <c r="A120" t="s">
        <v>148</v>
      </c>
      <c r="B120" t="s">
        <v>148</v>
      </c>
      <c r="C120" t="s">
        <v>134</v>
      </c>
      <c r="D120">
        <v>23</v>
      </c>
      <c r="E120">
        <v>14</v>
      </c>
    </row>
    <row r="121" spans="1:5" x14ac:dyDescent="0.3">
      <c r="A121" t="s">
        <v>149</v>
      </c>
      <c r="B121" t="s">
        <v>149</v>
      </c>
      <c r="C121" t="s">
        <v>134</v>
      </c>
      <c r="D121">
        <v>23</v>
      </c>
      <c r="E121">
        <v>15</v>
      </c>
    </row>
    <row r="122" spans="1:5" x14ac:dyDescent="0.3">
      <c r="A122" t="s">
        <v>150</v>
      </c>
      <c r="B122" t="s">
        <v>150</v>
      </c>
      <c r="C122" t="s">
        <v>134</v>
      </c>
      <c r="D122">
        <v>23</v>
      </c>
      <c r="E122">
        <v>16</v>
      </c>
    </row>
    <row r="123" spans="1:5" x14ac:dyDescent="0.3">
      <c r="A123" t="s">
        <v>151</v>
      </c>
      <c r="B123" t="s">
        <v>151</v>
      </c>
      <c r="C123" t="s">
        <v>134</v>
      </c>
      <c r="D123">
        <v>23</v>
      </c>
      <c r="E123">
        <v>17</v>
      </c>
    </row>
    <row r="124" spans="1:5" x14ac:dyDescent="0.3">
      <c r="A124" t="s">
        <v>152</v>
      </c>
      <c r="B124" t="s">
        <v>152</v>
      </c>
      <c r="C124" t="s">
        <v>134</v>
      </c>
      <c r="D124">
        <v>23</v>
      </c>
      <c r="E124">
        <v>18</v>
      </c>
    </row>
    <row r="125" spans="1:5" x14ac:dyDescent="0.3">
      <c r="A125" t="s">
        <v>153</v>
      </c>
      <c r="B125" t="s">
        <v>153</v>
      </c>
      <c r="C125" t="s">
        <v>134</v>
      </c>
      <c r="D125">
        <v>23</v>
      </c>
      <c r="E125">
        <v>19</v>
      </c>
    </row>
    <row r="126" spans="1:5" x14ac:dyDescent="0.3">
      <c r="A126" t="s">
        <v>154</v>
      </c>
      <c r="B126" t="s">
        <v>154</v>
      </c>
      <c r="C126" t="s">
        <v>134</v>
      </c>
      <c r="D126">
        <v>23</v>
      </c>
      <c r="E126">
        <v>20</v>
      </c>
    </row>
    <row r="127" spans="1:5" x14ac:dyDescent="0.3">
      <c r="A127" t="s">
        <v>155</v>
      </c>
      <c r="B127" t="s">
        <v>155</v>
      </c>
      <c r="C127" t="s">
        <v>134</v>
      </c>
      <c r="D127">
        <v>23</v>
      </c>
      <c r="E127">
        <v>21</v>
      </c>
    </row>
    <row r="128" spans="1:5" x14ac:dyDescent="0.3">
      <c r="A128" t="s">
        <v>156</v>
      </c>
      <c r="B128" t="s">
        <v>156</v>
      </c>
      <c r="C128" t="s">
        <v>134</v>
      </c>
      <c r="D128">
        <v>23</v>
      </c>
      <c r="E128">
        <v>22</v>
      </c>
    </row>
    <row r="129" spans="1:5" x14ac:dyDescent="0.3">
      <c r="A129" t="s">
        <v>157</v>
      </c>
      <c r="B129" t="s">
        <v>157</v>
      </c>
      <c r="C129" t="s">
        <v>134</v>
      </c>
      <c r="D129">
        <v>23</v>
      </c>
      <c r="E129">
        <v>23</v>
      </c>
    </row>
    <row r="130" spans="1:5" x14ac:dyDescent="0.3">
      <c r="A130" t="s">
        <v>158</v>
      </c>
      <c r="B130" t="s">
        <v>158</v>
      </c>
      <c r="C130" t="s">
        <v>134</v>
      </c>
      <c r="D130">
        <v>23</v>
      </c>
      <c r="E130">
        <v>24</v>
      </c>
    </row>
    <row r="131" spans="1:5" x14ac:dyDescent="0.3">
      <c r="A131" t="s">
        <v>159</v>
      </c>
      <c r="B131" t="s">
        <v>159</v>
      </c>
      <c r="C131" t="s">
        <v>134</v>
      </c>
      <c r="D131">
        <v>23</v>
      </c>
      <c r="E131">
        <v>25</v>
      </c>
    </row>
    <row r="132" spans="1:5" x14ac:dyDescent="0.3">
      <c r="A132" t="s">
        <v>160</v>
      </c>
      <c r="B132" t="s">
        <v>160</v>
      </c>
      <c r="C132" t="s">
        <v>134</v>
      </c>
      <c r="D132">
        <v>23</v>
      </c>
      <c r="E132">
        <v>26</v>
      </c>
    </row>
    <row r="133" spans="1:5" x14ac:dyDescent="0.3">
      <c r="A133" t="s">
        <v>161</v>
      </c>
      <c r="B133" t="s">
        <v>161</v>
      </c>
      <c r="C133" t="s">
        <v>134</v>
      </c>
      <c r="D133">
        <v>23</v>
      </c>
      <c r="E133">
        <v>27</v>
      </c>
    </row>
    <row r="134" spans="1:5" x14ac:dyDescent="0.3">
      <c r="A134" t="s">
        <v>162</v>
      </c>
      <c r="B134" t="s">
        <v>162</v>
      </c>
      <c r="C134" t="s">
        <v>134</v>
      </c>
      <c r="D134">
        <v>23</v>
      </c>
      <c r="E134">
        <v>28</v>
      </c>
    </row>
    <row r="135" spans="1:5" x14ac:dyDescent="0.3">
      <c r="A135" t="s">
        <v>163</v>
      </c>
      <c r="B135" t="s">
        <v>163</v>
      </c>
      <c r="C135" t="s">
        <v>134</v>
      </c>
      <c r="D135">
        <v>23</v>
      </c>
      <c r="E135">
        <v>29</v>
      </c>
    </row>
    <row r="136" spans="1:5" x14ac:dyDescent="0.3">
      <c r="A136" t="s">
        <v>164</v>
      </c>
      <c r="B136" t="s">
        <v>164</v>
      </c>
      <c r="C136" t="s">
        <v>134</v>
      </c>
      <c r="D136">
        <v>23</v>
      </c>
      <c r="E136">
        <v>30</v>
      </c>
    </row>
    <row r="137" spans="1:5" x14ac:dyDescent="0.3">
      <c r="A137" t="s">
        <v>166</v>
      </c>
      <c r="B137" t="s">
        <v>167</v>
      </c>
      <c r="C137" t="s">
        <v>165</v>
      </c>
      <c r="D137">
        <v>24</v>
      </c>
      <c r="E137">
        <v>1</v>
      </c>
    </row>
    <row r="138" spans="1:5" x14ac:dyDescent="0.3">
      <c r="A138" t="s">
        <v>168</v>
      </c>
      <c r="B138" t="s">
        <v>169</v>
      </c>
      <c r="C138" t="s">
        <v>165</v>
      </c>
      <c r="D138">
        <v>24</v>
      </c>
      <c r="E138">
        <v>2</v>
      </c>
    </row>
    <row r="139" spans="1:5" x14ac:dyDescent="0.3">
      <c r="A139" t="s">
        <v>170</v>
      </c>
      <c r="B139" t="s">
        <v>192</v>
      </c>
      <c r="C139" t="s">
        <v>165</v>
      </c>
      <c r="D139">
        <v>24</v>
      </c>
      <c r="E139">
        <v>3</v>
      </c>
    </row>
    <row r="140" spans="1:5" x14ac:dyDescent="0.3">
      <c r="A140" t="s">
        <v>171</v>
      </c>
      <c r="B140" t="s">
        <v>193</v>
      </c>
      <c r="C140" t="s">
        <v>165</v>
      </c>
      <c r="D140">
        <v>24</v>
      </c>
      <c r="E140">
        <v>4</v>
      </c>
    </row>
    <row r="141" spans="1:5" x14ac:dyDescent="0.3">
      <c r="A141" t="s">
        <v>172</v>
      </c>
      <c r="B141" t="s">
        <v>194</v>
      </c>
      <c r="C141" t="s">
        <v>165</v>
      </c>
      <c r="D141">
        <v>24</v>
      </c>
      <c r="E141">
        <v>5</v>
      </c>
    </row>
    <row r="142" spans="1:5" x14ac:dyDescent="0.3">
      <c r="A142" t="s">
        <v>173</v>
      </c>
      <c r="B142" t="s">
        <v>195</v>
      </c>
      <c r="C142" t="s">
        <v>165</v>
      </c>
      <c r="D142">
        <v>24</v>
      </c>
      <c r="E142">
        <v>6</v>
      </c>
    </row>
    <row r="143" spans="1:5" x14ac:dyDescent="0.3">
      <c r="A143" t="s">
        <v>174</v>
      </c>
      <c r="B143" t="s">
        <v>196</v>
      </c>
      <c r="C143" t="s">
        <v>165</v>
      </c>
      <c r="D143">
        <v>24</v>
      </c>
      <c r="E143">
        <v>7</v>
      </c>
    </row>
    <row r="144" spans="1:5" x14ac:dyDescent="0.3">
      <c r="A144" t="s">
        <v>175</v>
      </c>
      <c r="B144" t="s">
        <v>197</v>
      </c>
      <c r="C144" t="s">
        <v>165</v>
      </c>
      <c r="D144">
        <v>24</v>
      </c>
      <c r="E144">
        <v>8</v>
      </c>
    </row>
    <row r="145" spans="1:5" x14ac:dyDescent="0.3">
      <c r="A145" t="s">
        <v>176</v>
      </c>
      <c r="B145" t="s">
        <v>198</v>
      </c>
      <c r="C145" t="s">
        <v>165</v>
      </c>
      <c r="D145">
        <v>24</v>
      </c>
      <c r="E145">
        <v>9</v>
      </c>
    </row>
    <row r="146" spans="1:5" x14ac:dyDescent="0.3">
      <c r="A146" t="s">
        <v>177</v>
      </c>
      <c r="B146" t="s">
        <v>199</v>
      </c>
      <c r="C146" t="s">
        <v>165</v>
      </c>
      <c r="D146">
        <v>24</v>
      </c>
      <c r="E146">
        <v>10</v>
      </c>
    </row>
    <row r="147" spans="1:5" x14ac:dyDescent="0.3">
      <c r="A147" t="s">
        <v>178</v>
      </c>
      <c r="B147" t="s">
        <v>200</v>
      </c>
      <c r="C147" t="s">
        <v>165</v>
      </c>
      <c r="D147">
        <v>24</v>
      </c>
      <c r="E147">
        <v>11</v>
      </c>
    </row>
    <row r="148" spans="1:5" x14ac:dyDescent="0.3">
      <c r="A148" t="s">
        <v>179</v>
      </c>
      <c r="B148" t="s">
        <v>201</v>
      </c>
      <c r="C148" t="s">
        <v>165</v>
      </c>
      <c r="D148">
        <v>24</v>
      </c>
      <c r="E148">
        <v>12</v>
      </c>
    </row>
    <row r="149" spans="1:5" x14ac:dyDescent="0.3">
      <c r="A149" t="s">
        <v>180</v>
      </c>
      <c r="B149" t="s">
        <v>202</v>
      </c>
      <c r="C149" t="s">
        <v>165</v>
      </c>
      <c r="D149">
        <v>24</v>
      </c>
      <c r="E149">
        <v>13</v>
      </c>
    </row>
    <row r="150" spans="1:5" x14ac:dyDescent="0.3">
      <c r="A150" t="s">
        <v>181</v>
      </c>
      <c r="B150" t="s">
        <v>203</v>
      </c>
      <c r="C150" t="s">
        <v>165</v>
      </c>
      <c r="D150">
        <v>24</v>
      </c>
      <c r="E150">
        <v>14</v>
      </c>
    </row>
    <row r="151" spans="1:5" x14ac:dyDescent="0.3">
      <c r="A151" t="s">
        <v>182</v>
      </c>
      <c r="B151" t="s">
        <v>204</v>
      </c>
      <c r="C151" t="s">
        <v>165</v>
      </c>
      <c r="D151">
        <v>24</v>
      </c>
      <c r="E151">
        <v>15</v>
      </c>
    </row>
    <row r="152" spans="1:5" x14ac:dyDescent="0.3">
      <c r="A152" t="s">
        <v>183</v>
      </c>
      <c r="B152" t="s">
        <v>205</v>
      </c>
      <c r="C152" t="s">
        <v>165</v>
      </c>
      <c r="D152">
        <v>24</v>
      </c>
      <c r="E152">
        <v>16</v>
      </c>
    </row>
    <row r="153" spans="1:5" x14ac:dyDescent="0.3">
      <c r="A153" t="s">
        <v>184</v>
      </c>
      <c r="B153" t="s">
        <v>206</v>
      </c>
      <c r="C153" t="s">
        <v>165</v>
      </c>
      <c r="D153">
        <v>24</v>
      </c>
      <c r="E153">
        <v>17</v>
      </c>
    </row>
    <row r="154" spans="1:5" x14ac:dyDescent="0.3">
      <c r="A154" t="s">
        <v>185</v>
      </c>
      <c r="B154" t="s">
        <v>207</v>
      </c>
      <c r="C154" t="s">
        <v>165</v>
      </c>
      <c r="D154">
        <v>24</v>
      </c>
      <c r="E154">
        <v>18</v>
      </c>
    </row>
    <row r="155" spans="1:5" x14ac:dyDescent="0.3">
      <c r="A155" t="s">
        <v>186</v>
      </c>
      <c r="B155" t="s">
        <v>208</v>
      </c>
      <c r="C155" t="s">
        <v>165</v>
      </c>
      <c r="D155">
        <v>24</v>
      </c>
      <c r="E155">
        <v>19</v>
      </c>
    </row>
    <row r="156" spans="1:5" x14ac:dyDescent="0.3">
      <c r="A156" t="s">
        <v>187</v>
      </c>
      <c r="B156" t="s">
        <v>209</v>
      </c>
      <c r="C156" t="s">
        <v>165</v>
      </c>
      <c r="D156">
        <v>24</v>
      </c>
      <c r="E156">
        <v>20</v>
      </c>
    </row>
    <row r="157" spans="1:5" x14ac:dyDescent="0.3">
      <c r="A157" t="s">
        <v>188</v>
      </c>
      <c r="B157" t="s">
        <v>210</v>
      </c>
      <c r="C157" t="s">
        <v>165</v>
      </c>
      <c r="D157">
        <v>24</v>
      </c>
      <c r="E157">
        <v>21</v>
      </c>
    </row>
    <row r="158" spans="1:5" x14ac:dyDescent="0.3">
      <c r="A158" t="s">
        <v>189</v>
      </c>
      <c r="B158" t="s">
        <v>211</v>
      </c>
      <c r="C158" t="s">
        <v>165</v>
      </c>
      <c r="D158">
        <v>24</v>
      </c>
      <c r="E158">
        <v>22</v>
      </c>
    </row>
    <row r="159" spans="1:5" x14ac:dyDescent="0.3">
      <c r="A159" t="s">
        <v>190</v>
      </c>
      <c r="B159" t="s">
        <v>212</v>
      </c>
      <c r="C159" t="s">
        <v>165</v>
      </c>
      <c r="D159">
        <v>24</v>
      </c>
      <c r="E159">
        <v>23</v>
      </c>
    </row>
    <row r="160" spans="1:5" x14ac:dyDescent="0.3">
      <c r="A160" t="s">
        <v>191</v>
      </c>
      <c r="B160" t="s">
        <v>213</v>
      </c>
      <c r="C160" t="s">
        <v>165</v>
      </c>
      <c r="D160">
        <v>24</v>
      </c>
      <c r="E160">
        <v>24</v>
      </c>
    </row>
    <row r="161" spans="1:5" x14ac:dyDescent="0.3">
      <c r="A161" t="s">
        <v>215</v>
      </c>
      <c r="B161" t="s">
        <v>215</v>
      </c>
      <c r="C161" t="s">
        <v>214</v>
      </c>
      <c r="D161">
        <v>25</v>
      </c>
      <c r="E161">
        <v>1</v>
      </c>
    </row>
    <row r="162" spans="1:5" x14ac:dyDescent="0.3">
      <c r="A162" t="s">
        <v>216</v>
      </c>
      <c r="B162" t="s">
        <v>216</v>
      </c>
      <c r="C162" t="s">
        <v>214</v>
      </c>
      <c r="D162">
        <v>25</v>
      </c>
      <c r="E162">
        <v>2</v>
      </c>
    </row>
    <row r="163" spans="1:5" x14ac:dyDescent="0.3">
      <c r="A163" t="s">
        <v>217</v>
      </c>
      <c r="B163" t="s">
        <v>217</v>
      </c>
      <c r="C163" t="s">
        <v>214</v>
      </c>
      <c r="D163">
        <v>25</v>
      </c>
      <c r="E163">
        <v>3</v>
      </c>
    </row>
    <row r="164" spans="1:5" x14ac:dyDescent="0.3">
      <c r="A164" t="s">
        <v>218</v>
      </c>
      <c r="B164" t="s">
        <v>218</v>
      </c>
      <c r="C164" t="s">
        <v>214</v>
      </c>
      <c r="D164">
        <v>25</v>
      </c>
      <c r="E164">
        <v>4</v>
      </c>
    </row>
    <row r="165" spans="1:5" x14ac:dyDescent="0.3">
      <c r="A165" t="s">
        <v>219</v>
      </c>
      <c r="B165" t="s">
        <v>219</v>
      </c>
      <c r="C165" t="s">
        <v>214</v>
      </c>
      <c r="D165">
        <v>25</v>
      </c>
      <c r="E165">
        <v>5</v>
      </c>
    </row>
    <row r="166" spans="1:5" x14ac:dyDescent="0.3">
      <c r="A166" t="s">
        <v>220</v>
      </c>
      <c r="B166" t="s">
        <v>167</v>
      </c>
      <c r="C166" t="s">
        <v>214</v>
      </c>
      <c r="D166">
        <v>25</v>
      </c>
      <c r="E166">
        <v>6</v>
      </c>
    </row>
    <row r="167" spans="1:5" x14ac:dyDescent="0.3">
      <c r="A167" t="s">
        <v>221</v>
      </c>
      <c r="B167" t="s">
        <v>169</v>
      </c>
      <c r="C167" t="s">
        <v>214</v>
      </c>
      <c r="D167">
        <v>25</v>
      </c>
      <c r="E167">
        <v>7</v>
      </c>
    </row>
    <row r="168" spans="1:5" x14ac:dyDescent="0.3">
      <c r="A168" t="s">
        <v>222</v>
      </c>
      <c r="B168" t="s">
        <v>192</v>
      </c>
      <c r="C168" t="s">
        <v>214</v>
      </c>
      <c r="D168">
        <v>25</v>
      </c>
      <c r="E168">
        <v>8</v>
      </c>
    </row>
    <row r="169" spans="1:5" x14ac:dyDescent="0.3">
      <c r="A169" t="s">
        <v>223</v>
      </c>
      <c r="B169" t="s">
        <v>193</v>
      </c>
      <c r="C169" t="s">
        <v>214</v>
      </c>
      <c r="D169">
        <v>25</v>
      </c>
      <c r="E169">
        <v>9</v>
      </c>
    </row>
    <row r="170" spans="1:5" x14ac:dyDescent="0.3">
      <c r="A170" t="s">
        <v>224</v>
      </c>
      <c r="B170" t="s">
        <v>194</v>
      </c>
      <c r="C170" t="s">
        <v>214</v>
      </c>
      <c r="D170">
        <v>25</v>
      </c>
      <c r="E170">
        <v>10</v>
      </c>
    </row>
    <row r="171" spans="1:5" x14ac:dyDescent="0.3">
      <c r="A171" t="s">
        <v>225</v>
      </c>
      <c r="B171" t="s">
        <v>195</v>
      </c>
      <c r="C171" t="s">
        <v>214</v>
      </c>
      <c r="D171">
        <v>25</v>
      </c>
      <c r="E171">
        <v>11</v>
      </c>
    </row>
    <row r="172" spans="1:5" x14ac:dyDescent="0.3">
      <c r="A172" t="s">
        <v>226</v>
      </c>
      <c r="B172" t="s">
        <v>196</v>
      </c>
      <c r="C172" t="s">
        <v>214</v>
      </c>
      <c r="D172">
        <v>25</v>
      </c>
      <c r="E172">
        <v>12</v>
      </c>
    </row>
    <row r="173" spans="1:5" x14ac:dyDescent="0.3">
      <c r="A173" t="s">
        <v>227</v>
      </c>
      <c r="B173" t="s">
        <v>197</v>
      </c>
      <c r="C173" t="s">
        <v>214</v>
      </c>
      <c r="D173">
        <v>25</v>
      </c>
      <c r="E173">
        <v>13</v>
      </c>
    </row>
    <row r="174" spans="1:5" x14ac:dyDescent="0.3">
      <c r="A174" t="s">
        <v>228</v>
      </c>
      <c r="B174" t="s">
        <v>198</v>
      </c>
      <c r="C174" t="s">
        <v>214</v>
      </c>
      <c r="D174">
        <v>25</v>
      </c>
      <c r="E174">
        <v>14</v>
      </c>
    </row>
    <row r="175" spans="1:5" x14ac:dyDescent="0.3">
      <c r="A175" t="s">
        <v>229</v>
      </c>
      <c r="B175" t="s">
        <v>199</v>
      </c>
      <c r="C175" t="s">
        <v>214</v>
      </c>
      <c r="D175">
        <v>25</v>
      </c>
      <c r="E175">
        <v>15</v>
      </c>
    </row>
    <row r="176" spans="1:5" x14ac:dyDescent="0.3">
      <c r="A176" t="s">
        <v>230</v>
      </c>
      <c r="B176" t="s">
        <v>200</v>
      </c>
      <c r="C176" t="s">
        <v>214</v>
      </c>
      <c r="D176">
        <v>25</v>
      </c>
      <c r="E176">
        <v>16</v>
      </c>
    </row>
    <row r="177" spans="1:5" x14ac:dyDescent="0.3">
      <c r="A177" t="s">
        <v>231</v>
      </c>
      <c r="B177" t="s">
        <v>201</v>
      </c>
      <c r="C177" t="s">
        <v>214</v>
      </c>
      <c r="D177">
        <v>25</v>
      </c>
      <c r="E177">
        <v>17</v>
      </c>
    </row>
    <row r="178" spans="1:5" x14ac:dyDescent="0.3">
      <c r="A178" t="s">
        <v>232</v>
      </c>
      <c r="B178" t="s">
        <v>202</v>
      </c>
      <c r="C178" t="s">
        <v>214</v>
      </c>
      <c r="D178">
        <v>25</v>
      </c>
      <c r="E178">
        <v>18</v>
      </c>
    </row>
    <row r="179" spans="1:5" x14ac:dyDescent="0.3">
      <c r="A179" t="s">
        <v>233</v>
      </c>
      <c r="B179" t="s">
        <v>203</v>
      </c>
      <c r="C179" t="s">
        <v>214</v>
      </c>
      <c r="D179">
        <v>25</v>
      </c>
      <c r="E179">
        <v>19</v>
      </c>
    </row>
    <row r="180" spans="1:5" x14ac:dyDescent="0.3">
      <c r="A180" t="s">
        <v>234</v>
      </c>
      <c r="B180" t="s">
        <v>204</v>
      </c>
      <c r="C180" t="s">
        <v>214</v>
      </c>
      <c r="D180">
        <v>25</v>
      </c>
      <c r="E180">
        <v>20</v>
      </c>
    </row>
    <row r="181" spans="1:5" x14ac:dyDescent="0.3">
      <c r="A181" t="s">
        <v>235</v>
      </c>
      <c r="B181" t="s">
        <v>205</v>
      </c>
      <c r="C181" t="s">
        <v>214</v>
      </c>
      <c r="D181">
        <v>25</v>
      </c>
      <c r="E181">
        <v>21</v>
      </c>
    </row>
    <row r="182" spans="1:5" x14ac:dyDescent="0.3">
      <c r="A182" t="s">
        <v>236</v>
      </c>
      <c r="B182" t="s">
        <v>206</v>
      </c>
      <c r="C182" t="s">
        <v>214</v>
      </c>
      <c r="D182">
        <v>25</v>
      </c>
      <c r="E182">
        <v>22</v>
      </c>
    </row>
    <row r="183" spans="1:5" x14ac:dyDescent="0.3">
      <c r="A183" t="s">
        <v>237</v>
      </c>
      <c r="B183" t="s">
        <v>207</v>
      </c>
      <c r="C183" t="s">
        <v>214</v>
      </c>
      <c r="D183">
        <v>25</v>
      </c>
      <c r="E183">
        <v>23</v>
      </c>
    </row>
    <row r="184" spans="1:5" x14ac:dyDescent="0.3">
      <c r="A184" t="s">
        <v>238</v>
      </c>
      <c r="B184" t="s">
        <v>208</v>
      </c>
      <c r="C184" t="s">
        <v>214</v>
      </c>
      <c r="D184">
        <v>25</v>
      </c>
      <c r="E184">
        <v>24</v>
      </c>
    </row>
    <row r="185" spans="1:5" x14ac:dyDescent="0.3">
      <c r="A185" t="s">
        <v>239</v>
      </c>
      <c r="B185" t="s">
        <v>209</v>
      </c>
      <c r="C185" t="s">
        <v>214</v>
      </c>
      <c r="D185">
        <v>25</v>
      </c>
      <c r="E185">
        <v>25</v>
      </c>
    </row>
    <row r="186" spans="1:5" x14ac:dyDescent="0.3">
      <c r="A186" t="s">
        <v>240</v>
      </c>
      <c r="B186" t="s">
        <v>210</v>
      </c>
      <c r="C186" t="s">
        <v>214</v>
      </c>
      <c r="D186">
        <v>25</v>
      </c>
      <c r="E186">
        <v>26</v>
      </c>
    </row>
    <row r="187" spans="1:5" x14ac:dyDescent="0.3">
      <c r="A187" t="s">
        <v>241</v>
      </c>
      <c r="B187" t="s">
        <v>211</v>
      </c>
      <c r="C187" t="s">
        <v>214</v>
      </c>
      <c r="D187">
        <v>25</v>
      </c>
      <c r="E187">
        <v>27</v>
      </c>
    </row>
    <row r="188" spans="1:5" x14ac:dyDescent="0.3">
      <c r="A188" t="s">
        <v>242</v>
      </c>
      <c r="B188" t="s">
        <v>212</v>
      </c>
      <c r="C188" t="s">
        <v>214</v>
      </c>
      <c r="D188">
        <v>25</v>
      </c>
      <c r="E188">
        <v>28</v>
      </c>
    </row>
    <row r="189" spans="1:5" x14ac:dyDescent="0.3">
      <c r="A189" t="s">
        <v>243</v>
      </c>
      <c r="B189" t="s">
        <v>213</v>
      </c>
      <c r="C189" t="s">
        <v>214</v>
      </c>
      <c r="D189">
        <v>25</v>
      </c>
      <c r="E189">
        <v>29</v>
      </c>
    </row>
    <row r="190" spans="1:5" x14ac:dyDescent="0.3">
      <c r="A190" t="s">
        <v>244</v>
      </c>
      <c r="B190" t="s">
        <v>244</v>
      </c>
      <c r="C190" t="s">
        <v>214</v>
      </c>
      <c r="D190">
        <v>25</v>
      </c>
      <c r="E190">
        <v>30</v>
      </c>
    </row>
    <row r="191" spans="1:5" x14ac:dyDescent="0.3">
      <c r="A191" t="s">
        <v>245</v>
      </c>
      <c r="B191" t="s">
        <v>245</v>
      </c>
      <c r="C191" t="s">
        <v>214</v>
      </c>
      <c r="D191">
        <v>25</v>
      </c>
      <c r="E191">
        <v>31</v>
      </c>
    </row>
    <row r="192" spans="1:5" x14ac:dyDescent="0.3">
      <c r="A192" t="s">
        <v>246</v>
      </c>
      <c r="B192" t="s">
        <v>246</v>
      </c>
      <c r="C192" t="s">
        <v>214</v>
      </c>
      <c r="D192">
        <v>25</v>
      </c>
      <c r="E192">
        <v>32</v>
      </c>
    </row>
    <row r="193" spans="1:5" x14ac:dyDescent="0.3">
      <c r="A193" t="s">
        <v>247</v>
      </c>
      <c r="B193" t="s">
        <v>247</v>
      </c>
      <c r="C193" t="s">
        <v>214</v>
      </c>
      <c r="D193">
        <v>25</v>
      </c>
      <c r="E193">
        <v>33</v>
      </c>
    </row>
    <row r="194" spans="1:5" x14ac:dyDescent="0.3">
      <c r="A194" t="s">
        <v>248</v>
      </c>
      <c r="B194" t="s">
        <v>248</v>
      </c>
      <c r="C194" t="s">
        <v>214</v>
      </c>
      <c r="D194">
        <v>25</v>
      </c>
      <c r="E194">
        <v>34</v>
      </c>
    </row>
    <row r="195" spans="1:5" x14ac:dyDescent="0.3">
      <c r="A195" t="s">
        <v>249</v>
      </c>
      <c r="B195" t="s">
        <v>249</v>
      </c>
      <c r="C195" t="s">
        <v>214</v>
      </c>
      <c r="D195">
        <v>25</v>
      </c>
      <c r="E195">
        <v>35</v>
      </c>
    </row>
    <row r="196" spans="1:5" x14ac:dyDescent="0.3">
      <c r="A196" t="s">
        <v>250</v>
      </c>
      <c r="B196" t="s">
        <v>250</v>
      </c>
      <c r="C196" t="s">
        <v>214</v>
      </c>
      <c r="D196">
        <v>25</v>
      </c>
      <c r="E196">
        <v>36</v>
      </c>
    </row>
    <row r="197" spans="1:5" x14ac:dyDescent="0.3">
      <c r="A197" t="s">
        <v>251</v>
      </c>
      <c r="B197" t="s">
        <v>251</v>
      </c>
      <c r="C197" t="s">
        <v>214</v>
      </c>
      <c r="D197">
        <v>25</v>
      </c>
      <c r="E197">
        <v>37</v>
      </c>
    </row>
    <row r="198" spans="1:5" x14ac:dyDescent="0.3">
      <c r="A198" t="s">
        <v>252</v>
      </c>
      <c r="B198" t="s">
        <v>252</v>
      </c>
      <c r="C198" t="s">
        <v>214</v>
      </c>
      <c r="D198">
        <v>25</v>
      </c>
      <c r="E198">
        <v>38</v>
      </c>
    </row>
    <row r="199" spans="1:5" x14ac:dyDescent="0.3">
      <c r="A199" t="s">
        <v>253</v>
      </c>
      <c r="B199" t="s">
        <v>253</v>
      </c>
      <c r="C199" t="s">
        <v>214</v>
      </c>
      <c r="D199">
        <v>25</v>
      </c>
      <c r="E199">
        <v>39</v>
      </c>
    </row>
    <row r="200" spans="1:5" x14ac:dyDescent="0.3">
      <c r="A200" t="s">
        <v>254</v>
      </c>
      <c r="B200" t="s">
        <v>254</v>
      </c>
      <c r="C200" t="s">
        <v>214</v>
      </c>
      <c r="D200">
        <v>25</v>
      </c>
      <c r="E200">
        <v>40</v>
      </c>
    </row>
    <row r="201" spans="1:5" x14ac:dyDescent="0.3">
      <c r="A201" t="s">
        <v>255</v>
      </c>
      <c r="B201" t="s">
        <v>255</v>
      </c>
      <c r="C201" t="s">
        <v>214</v>
      </c>
      <c r="D201">
        <v>25</v>
      </c>
      <c r="E201">
        <v>41</v>
      </c>
    </row>
    <row r="202" spans="1:5" x14ac:dyDescent="0.3">
      <c r="A202" t="s">
        <v>256</v>
      </c>
      <c r="B202" t="s">
        <v>256</v>
      </c>
      <c r="C202" t="s">
        <v>214</v>
      </c>
      <c r="D202">
        <v>25</v>
      </c>
      <c r="E202">
        <v>42</v>
      </c>
    </row>
    <row r="203" spans="1:5" x14ac:dyDescent="0.3">
      <c r="A203" t="s">
        <v>257</v>
      </c>
      <c r="B203" t="s">
        <v>257</v>
      </c>
      <c r="C203" t="s">
        <v>214</v>
      </c>
      <c r="D203">
        <v>25</v>
      </c>
      <c r="E203">
        <v>43</v>
      </c>
    </row>
    <row r="204" spans="1:5" x14ac:dyDescent="0.3">
      <c r="A204" t="s">
        <v>259</v>
      </c>
      <c r="B204" t="s">
        <v>259</v>
      </c>
      <c r="C204" t="s">
        <v>258</v>
      </c>
      <c r="D204">
        <v>26</v>
      </c>
      <c r="E204">
        <v>1</v>
      </c>
    </row>
    <row r="205" spans="1:5" x14ac:dyDescent="0.3">
      <c r="A205" t="s">
        <v>261</v>
      </c>
      <c r="B205" t="s">
        <v>261</v>
      </c>
      <c r="C205" t="s">
        <v>260</v>
      </c>
      <c r="D205">
        <v>27</v>
      </c>
      <c r="E205">
        <v>1</v>
      </c>
    </row>
    <row r="206" spans="1:5" x14ac:dyDescent="0.3">
      <c r="A206" t="s">
        <v>262</v>
      </c>
      <c r="B206" t="s">
        <v>263</v>
      </c>
      <c r="C206" t="s">
        <v>260</v>
      </c>
      <c r="D206">
        <v>27</v>
      </c>
      <c r="E206">
        <v>2</v>
      </c>
    </row>
    <row r="207" spans="1:5" x14ac:dyDescent="0.3">
      <c r="A207" t="s">
        <v>264</v>
      </c>
      <c r="B207" t="s">
        <v>264</v>
      </c>
      <c r="C207" t="s">
        <v>260</v>
      </c>
      <c r="D207">
        <v>27</v>
      </c>
      <c r="E207">
        <v>3</v>
      </c>
    </row>
    <row r="208" spans="1:5" x14ac:dyDescent="0.3">
      <c r="A208" t="s">
        <v>265</v>
      </c>
      <c r="B208" t="s">
        <v>265</v>
      </c>
      <c r="C208" t="s">
        <v>260</v>
      </c>
      <c r="D208">
        <v>27</v>
      </c>
      <c r="E208">
        <v>4</v>
      </c>
    </row>
    <row r="209" spans="1:5" x14ac:dyDescent="0.3">
      <c r="A209" t="s">
        <v>266</v>
      </c>
      <c r="B209" t="s">
        <v>266</v>
      </c>
      <c r="C209" t="s">
        <v>260</v>
      </c>
      <c r="D209">
        <v>27</v>
      </c>
      <c r="E209">
        <v>5</v>
      </c>
    </row>
    <row r="210" spans="1:5" x14ac:dyDescent="0.3">
      <c r="A210" t="s">
        <v>267</v>
      </c>
      <c r="B210" t="s">
        <v>267</v>
      </c>
      <c r="C210" t="s">
        <v>260</v>
      </c>
      <c r="D210">
        <v>27</v>
      </c>
      <c r="E210">
        <v>6</v>
      </c>
    </row>
    <row r="211" spans="1:5" x14ac:dyDescent="0.3">
      <c r="A211" t="s">
        <v>269</v>
      </c>
      <c r="B211" t="s">
        <v>269</v>
      </c>
      <c r="C211" t="s">
        <v>268</v>
      </c>
      <c r="D211">
        <v>28</v>
      </c>
      <c r="E211">
        <v>1</v>
      </c>
    </row>
    <row r="212" spans="1:5" x14ac:dyDescent="0.3">
      <c r="A212" t="s">
        <v>270</v>
      </c>
      <c r="B212" t="s">
        <v>270</v>
      </c>
      <c r="C212" t="s">
        <v>268</v>
      </c>
      <c r="D212">
        <v>28</v>
      </c>
      <c r="E212">
        <v>2</v>
      </c>
    </row>
    <row r="213" spans="1:5" x14ac:dyDescent="0.3">
      <c r="A213" t="s">
        <v>271</v>
      </c>
      <c r="B213" t="s">
        <v>271</v>
      </c>
      <c r="C213" t="s">
        <v>268</v>
      </c>
      <c r="D213">
        <v>28</v>
      </c>
      <c r="E213">
        <v>3</v>
      </c>
    </row>
    <row r="214" spans="1:5" x14ac:dyDescent="0.3">
      <c r="A214" t="s">
        <v>272</v>
      </c>
      <c r="B214" t="s">
        <v>272</v>
      </c>
      <c r="C214" t="s">
        <v>268</v>
      </c>
      <c r="D214">
        <v>28</v>
      </c>
      <c r="E214">
        <v>4</v>
      </c>
    </row>
    <row r="215" spans="1:5" x14ac:dyDescent="0.3">
      <c r="A215" t="s">
        <v>273</v>
      </c>
      <c r="B215" t="s">
        <v>273</v>
      </c>
      <c r="C215" t="s">
        <v>268</v>
      </c>
      <c r="D215">
        <v>28</v>
      </c>
      <c r="E215">
        <v>5</v>
      </c>
    </row>
    <row r="216" spans="1:5" x14ac:dyDescent="0.3">
      <c r="A216" t="s">
        <v>274</v>
      </c>
      <c r="B216" t="s">
        <v>274</v>
      </c>
      <c r="C216" t="s">
        <v>268</v>
      </c>
      <c r="D216">
        <v>28</v>
      </c>
      <c r="E216">
        <v>6</v>
      </c>
    </row>
    <row r="217" spans="1:5" x14ac:dyDescent="0.3">
      <c r="A217" t="s">
        <v>275</v>
      </c>
      <c r="B217" t="s">
        <v>275</v>
      </c>
      <c r="C217" t="s">
        <v>268</v>
      </c>
      <c r="D217">
        <v>28</v>
      </c>
      <c r="E217">
        <v>7</v>
      </c>
    </row>
    <row r="218" spans="1:5" x14ac:dyDescent="0.3">
      <c r="A218" t="s">
        <v>276</v>
      </c>
      <c r="B218" t="s">
        <v>276</v>
      </c>
      <c r="C218" t="s">
        <v>268</v>
      </c>
      <c r="D218">
        <v>28</v>
      </c>
      <c r="E218">
        <v>8</v>
      </c>
    </row>
    <row r="219" spans="1:5" x14ac:dyDescent="0.3">
      <c r="A219" t="s">
        <v>277</v>
      </c>
      <c r="B219" t="s">
        <v>277</v>
      </c>
      <c r="C219" t="s">
        <v>268</v>
      </c>
      <c r="D219">
        <v>28</v>
      </c>
      <c r="E219">
        <v>9</v>
      </c>
    </row>
    <row r="220" spans="1:5" x14ac:dyDescent="0.3">
      <c r="A220" t="s">
        <v>278</v>
      </c>
      <c r="B220" t="s">
        <v>278</v>
      </c>
      <c r="C220" t="s">
        <v>268</v>
      </c>
      <c r="D220">
        <v>28</v>
      </c>
      <c r="E220">
        <v>10</v>
      </c>
    </row>
    <row r="221" spans="1:5" x14ac:dyDescent="0.3">
      <c r="A221" t="s">
        <v>279</v>
      </c>
      <c r="B221" t="s">
        <v>279</v>
      </c>
      <c r="C221" t="s">
        <v>268</v>
      </c>
      <c r="D221">
        <v>28</v>
      </c>
      <c r="E221">
        <v>11</v>
      </c>
    </row>
    <row r="222" spans="1:5" x14ac:dyDescent="0.3">
      <c r="A222" t="s">
        <v>280</v>
      </c>
      <c r="B222" t="s">
        <v>280</v>
      </c>
      <c r="C222" t="s">
        <v>268</v>
      </c>
      <c r="D222">
        <v>28</v>
      </c>
      <c r="E222">
        <v>12</v>
      </c>
    </row>
    <row r="223" spans="1:5" x14ac:dyDescent="0.3">
      <c r="A223" t="s">
        <v>281</v>
      </c>
      <c r="B223" t="s">
        <v>281</v>
      </c>
      <c r="C223" t="s">
        <v>268</v>
      </c>
      <c r="D223">
        <v>28</v>
      </c>
      <c r="E223">
        <v>13</v>
      </c>
    </row>
    <row r="224" spans="1:5" x14ac:dyDescent="0.3">
      <c r="A224" t="s">
        <v>282</v>
      </c>
      <c r="B224" t="s">
        <v>282</v>
      </c>
      <c r="C224" t="s">
        <v>268</v>
      </c>
      <c r="D224">
        <v>28</v>
      </c>
      <c r="E224">
        <v>14</v>
      </c>
    </row>
    <row r="225" spans="1:5" x14ac:dyDescent="0.3">
      <c r="A225" t="s">
        <v>283</v>
      </c>
      <c r="B225" t="s">
        <v>283</v>
      </c>
      <c r="C225" t="s">
        <v>268</v>
      </c>
      <c r="D225">
        <v>28</v>
      </c>
      <c r="E225">
        <v>15</v>
      </c>
    </row>
    <row r="226" spans="1:5" x14ac:dyDescent="0.3">
      <c r="A226" t="s">
        <v>284</v>
      </c>
      <c r="B226" t="s">
        <v>284</v>
      </c>
      <c r="C226" t="s">
        <v>268</v>
      </c>
      <c r="D226">
        <v>28</v>
      </c>
      <c r="E226">
        <v>16</v>
      </c>
    </row>
    <row r="227" spans="1:5" x14ac:dyDescent="0.3">
      <c r="A227" t="s">
        <v>285</v>
      </c>
      <c r="B227" t="s">
        <v>285</v>
      </c>
      <c r="C227" t="s">
        <v>268</v>
      </c>
      <c r="D227">
        <v>28</v>
      </c>
      <c r="E227">
        <v>17</v>
      </c>
    </row>
    <row r="228" spans="1:5" x14ac:dyDescent="0.3">
      <c r="A228" t="s">
        <v>286</v>
      </c>
      <c r="B228" t="s">
        <v>286</v>
      </c>
      <c r="C228" t="s">
        <v>268</v>
      </c>
      <c r="D228">
        <v>28</v>
      </c>
      <c r="E228">
        <v>18</v>
      </c>
    </row>
    <row r="229" spans="1:5" x14ac:dyDescent="0.3">
      <c r="A229" t="s">
        <v>287</v>
      </c>
      <c r="B229" t="s">
        <v>287</v>
      </c>
      <c r="C229" t="s">
        <v>268</v>
      </c>
      <c r="D229">
        <v>28</v>
      </c>
      <c r="E229">
        <v>19</v>
      </c>
    </row>
    <row r="230" spans="1:5" x14ac:dyDescent="0.3">
      <c r="A230" t="s">
        <v>288</v>
      </c>
      <c r="B230" t="s">
        <v>288</v>
      </c>
      <c r="C230" t="s">
        <v>268</v>
      </c>
      <c r="D230">
        <v>28</v>
      </c>
      <c r="E230">
        <v>20</v>
      </c>
    </row>
    <row r="231" spans="1:5" x14ac:dyDescent="0.3">
      <c r="A231" t="s">
        <v>289</v>
      </c>
      <c r="B231" t="s">
        <v>289</v>
      </c>
      <c r="C231" t="s">
        <v>268</v>
      </c>
      <c r="D231">
        <v>28</v>
      </c>
      <c r="E231">
        <v>21</v>
      </c>
    </row>
    <row r="232" spans="1:5" x14ac:dyDescent="0.3">
      <c r="A232" t="s">
        <v>290</v>
      </c>
      <c r="B232" t="s">
        <v>290</v>
      </c>
      <c r="C232" t="s">
        <v>268</v>
      </c>
      <c r="D232">
        <v>28</v>
      </c>
      <c r="E232">
        <v>22</v>
      </c>
    </row>
    <row r="233" spans="1:5" x14ac:dyDescent="0.3">
      <c r="A233" t="s">
        <v>291</v>
      </c>
      <c r="B233" t="s">
        <v>291</v>
      </c>
      <c r="C233" t="s">
        <v>268</v>
      </c>
      <c r="D233">
        <v>28</v>
      </c>
      <c r="E233">
        <v>23</v>
      </c>
    </row>
    <row r="234" spans="1:5" x14ac:dyDescent="0.3">
      <c r="A234" t="s">
        <v>292</v>
      </c>
      <c r="B234" t="s">
        <v>292</v>
      </c>
      <c r="C234" t="s">
        <v>268</v>
      </c>
      <c r="D234">
        <v>28</v>
      </c>
      <c r="E234">
        <v>24</v>
      </c>
    </row>
    <row r="235" spans="1:5" x14ac:dyDescent="0.3">
      <c r="A235" t="s">
        <v>293</v>
      </c>
      <c r="B235" t="s">
        <v>293</v>
      </c>
      <c r="C235" t="s">
        <v>268</v>
      </c>
      <c r="D235">
        <v>28</v>
      </c>
      <c r="E235">
        <v>25</v>
      </c>
    </row>
    <row r="236" spans="1:5" x14ac:dyDescent="0.3">
      <c r="A236" t="s">
        <v>294</v>
      </c>
      <c r="B236" t="s">
        <v>294</v>
      </c>
      <c r="C236" t="s">
        <v>268</v>
      </c>
      <c r="D236">
        <v>28</v>
      </c>
      <c r="E236">
        <v>26</v>
      </c>
    </row>
    <row r="237" spans="1:5" x14ac:dyDescent="0.3">
      <c r="A237" t="s">
        <v>295</v>
      </c>
      <c r="B237" t="s">
        <v>295</v>
      </c>
      <c r="C237" t="s">
        <v>268</v>
      </c>
      <c r="D237">
        <v>28</v>
      </c>
      <c r="E237">
        <v>27</v>
      </c>
    </row>
    <row r="238" spans="1:5" x14ac:dyDescent="0.3">
      <c r="A238" t="s">
        <v>296</v>
      </c>
      <c r="B238" t="s">
        <v>296</v>
      </c>
      <c r="C238" t="s">
        <v>268</v>
      </c>
      <c r="D238">
        <v>28</v>
      </c>
      <c r="E238">
        <v>28</v>
      </c>
    </row>
    <row r="239" spans="1:5" x14ac:dyDescent="0.3">
      <c r="A239" t="s">
        <v>297</v>
      </c>
      <c r="B239" t="s">
        <v>297</v>
      </c>
      <c r="C239" t="s">
        <v>268</v>
      </c>
      <c r="D239">
        <v>28</v>
      </c>
      <c r="E239">
        <v>29</v>
      </c>
    </row>
    <row r="240" spans="1:5" x14ac:dyDescent="0.3">
      <c r="A240" t="s">
        <v>299</v>
      </c>
      <c r="B240" t="s">
        <v>299</v>
      </c>
      <c r="C240" t="s">
        <v>298</v>
      </c>
      <c r="D240">
        <v>29</v>
      </c>
      <c r="E240">
        <v>1</v>
      </c>
    </row>
    <row r="241" spans="1:5" x14ac:dyDescent="0.3">
      <c r="A241" t="s">
        <v>300</v>
      </c>
      <c r="B241" t="s">
        <v>300</v>
      </c>
      <c r="C241" t="s">
        <v>298</v>
      </c>
      <c r="D241">
        <v>29</v>
      </c>
      <c r="E241">
        <v>2</v>
      </c>
    </row>
    <row r="242" spans="1:5" x14ac:dyDescent="0.3">
      <c r="A242" t="s">
        <v>301</v>
      </c>
      <c r="B242" t="s">
        <v>301</v>
      </c>
      <c r="C242" t="s">
        <v>298</v>
      </c>
      <c r="D242">
        <v>29</v>
      </c>
      <c r="E242">
        <v>3</v>
      </c>
    </row>
    <row r="243" spans="1:5" x14ac:dyDescent="0.3">
      <c r="A243" t="s">
        <v>302</v>
      </c>
      <c r="B243" t="s">
        <v>302</v>
      </c>
      <c r="C243" t="s">
        <v>298</v>
      </c>
      <c r="D243">
        <v>29</v>
      </c>
      <c r="E243">
        <v>4</v>
      </c>
    </row>
    <row r="244" spans="1:5" x14ac:dyDescent="0.3">
      <c r="A244" t="s">
        <v>303</v>
      </c>
      <c r="B244" t="s">
        <v>303</v>
      </c>
      <c r="C244" t="s">
        <v>298</v>
      </c>
      <c r="D244">
        <v>29</v>
      </c>
      <c r="E244">
        <v>5</v>
      </c>
    </row>
    <row r="245" spans="1:5" x14ac:dyDescent="0.3">
      <c r="A245" t="s">
        <v>305</v>
      </c>
      <c r="B245" t="s">
        <v>305</v>
      </c>
      <c r="C245" t="s">
        <v>304</v>
      </c>
      <c r="D245">
        <v>30</v>
      </c>
      <c r="E245">
        <v>1</v>
      </c>
    </row>
    <row r="246" spans="1:5" x14ac:dyDescent="0.3">
      <c r="A246" t="s">
        <v>306</v>
      </c>
      <c r="B246" t="s">
        <v>306</v>
      </c>
      <c r="C246" t="s">
        <v>304</v>
      </c>
      <c r="D246">
        <v>30</v>
      </c>
      <c r="E246">
        <v>2</v>
      </c>
    </row>
    <row r="247" spans="1:5" x14ac:dyDescent="0.3">
      <c r="A247" t="s">
        <v>307</v>
      </c>
      <c r="B247" t="s">
        <v>307</v>
      </c>
      <c r="C247" t="s">
        <v>304</v>
      </c>
      <c r="D247">
        <v>30</v>
      </c>
      <c r="E247">
        <v>3</v>
      </c>
    </row>
    <row r="248" spans="1:5" x14ac:dyDescent="0.3">
      <c r="A248" t="s">
        <v>308</v>
      </c>
      <c r="B248" t="s">
        <v>308</v>
      </c>
      <c r="C248" t="s">
        <v>304</v>
      </c>
      <c r="D248">
        <v>30</v>
      </c>
      <c r="E248">
        <v>4</v>
      </c>
    </row>
    <row r="249" spans="1:5" x14ac:dyDescent="0.3">
      <c r="A249" t="s">
        <v>309</v>
      </c>
      <c r="B249" t="s">
        <v>309</v>
      </c>
      <c r="C249" t="s">
        <v>304</v>
      </c>
      <c r="D249">
        <v>30</v>
      </c>
      <c r="E249">
        <v>5</v>
      </c>
    </row>
    <row r="250" spans="1:5" x14ac:dyDescent="0.3">
      <c r="A250" t="s">
        <v>310</v>
      </c>
      <c r="B250" t="s">
        <v>310</v>
      </c>
      <c r="C250" t="s">
        <v>304</v>
      </c>
      <c r="D250">
        <v>30</v>
      </c>
      <c r="E250">
        <v>6</v>
      </c>
    </row>
    <row r="251" spans="1:5" x14ac:dyDescent="0.3">
      <c r="A251" t="s">
        <v>311</v>
      </c>
      <c r="B251" t="s">
        <v>311</v>
      </c>
      <c r="C251" t="s">
        <v>304</v>
      </c>
      <c r="D251">
        <v>30</v>
      </c>
      <c r="E251">
        <v>7</v>
      </c>
    </row>
    <row r="252" spans="1:5" x14ac:dyDescent="0.3">
      <c r="A252" t="s">
        <v>312</v>
      </c>
      <c r="B252" t="s">
        <v>312</v>
      </c>
      <c r="C252" t="s">
        <v>304</v>
      </c>
      <c r="D252">
        <v>30</v>
      </c>
      <c r="E252">
        <v>8</v>
      </c>
    </row>
    <row r="253" spans="1:5" x14ac:dyDescent="0.3">
      <c r="A253" t="s">
        <v>314</v>
      </c>
      <c r="B253" t="s">
        <v>314</v>
      </c>
      <c r="C253" t="s">
        <v>313</v>
      </c>
      <c r="D253">
        <v>31</v>
      </c>
      <c r="E253">
        <v>1</v>
      </c>
    </row>
    <row r="254" spans="1:5" x14ac:dyDescent="0.3">
      <c r="A254" t="s">
        <v>315</v>
      </c>
      <c r="B254" t="s">
        <v>315</v>
      </c>
      <c r="C254" t="s">
        <v>313</v>
      </c>
      <c r="D254">
        <v>31</v>
      </c>
      <c r="E254">
        <v>2</v>
      </c>
    </row>
    <row r="255" spans="1:5" x14ac:dyDescent="0.3">
      <c r="A255" t="s">
        <v>316</v>
      </c>
      <c r="B255" t="s">
        <v>316</v>
      </c>
      <c r="C255" t="s">
        <v>313</v>
      </c>
      <c r="D255">
        <v>31</v>
      </c>
      <c r="E255">
        <v>3</v>
      </c>
    </row>
    <row r="256" spans="1:5" x14ac:dyDescent="0.3">
      <c r="A256" t="s">
        <v>317</v>
      </c>
      <c r="B256" t="s">
        <v>317</v>
      </c>
      <c r="C256" t="s">
        <v>313</v>
      </c>
      <c r="D256">
        <v>31</v>
      </c>
      <c r="E256">
        <v>4</v>
      </c>
    </row>
    <row r="257" spans="1:5" x14ac:dyDescent="0.3">
      <c r="A257" t="s">
        <v>318</v>
      </c>
      <c r="B257" t="s">
        <v>318</v>
      </c>
      <c r="C257" t="s">
        <v>313</v>
      </c>
      <c r="D257">
        <v>31</v>
      </c>
      <c r="E257">
        <v>5</v>
      </c>
    </row>
    <row r="258" spans="1:5" x14ac:dyDescent="0.3">
      <c r="A258" t="s">
        <v>319</v>
      </c>
      <c r="B258" t="s">
        <v>319</v>
      </c>
      <c r="C258" t="s">
        <v>313</v>
      </c>
      <c r="D258">
        <v>31</v>
      </c>
      <c r="E258">
        <v>6</v>
      </c>
    </row>
    <row r="259" spans="1:5" x14ac:dyDescent="0.3">
      <c r="A259" t="s">
        <v>320</v>
      </c>
      <c r="B259" t="s">
        <v>320</v>
      </c>
      <c r="C259" t="s">
        <v>313</v>
      </c>
      <c r="D259">
        <v>31</v>
      </c>
      <c r="E259">
        <v>7</v>
      </c>
    </row>
    <row r="260" spans="1:5" x14ac:dyDescent="0.3">
      <c r="A260" t="s">
        <v>321</v>
      </c>
      <c r="B260" t="s">
        <v>321</v>
      </c>
      <c r="C260" t="s">
        <v>313</v>
      </c>
      <c r="D260">
        <v>31</v>
      </c>
      <c r="E260">
        <v>8</v>
      </c>
    </row>
    <row r="261" spans="1:5" x14ac:dyDescent="0.3">
      <c r="A261" t="s">
        <v>322</v>
      </c>
      <c r="B261" t="s">
        <v>322</v>
      </c>
      <c r="C261" t="s">
        <v>313</v>
      </c>
      <c r="D261">
        <v>31</v>
      </c>
      <c r="E261">
        <v>9</v>
      </c>
    </row>
    <row r="262" spans="1:5" x14ac:dyDescent="0.3">
      <c r="A262" t="s">
        <v>323</v>
      </c>
      <c r="B262" t="s">
        <v>323</v>
      </c>
      <c r="C262" t="s">
        <v>313</v>
      </c>
      <c r="D262">
        <v>31</v>
      </c>
      <c r="E262">
        <v>10</v>
      </c>
    </row>
    <row r="263" spans="1:5" x14ac:dyDescent="0.3">
      <c r="A263" t="s">
        <v>324</v>
      </c>
      <c r="B263" t="s">
        <v>324</v>
      </c>
      <c r="C263" t="s">
        <v>313</v>
      </c>
      <c r="D263">
        <v>31</v>
      </c>
      <c r="E263">
        <v>11</v>
      </c>
    </row>
    <row r="264" spans="1:5" x14ac:dyDescent="0.3">
      <c r="A264" t="s">
        <v>325</v>
      </c>
      <c r="B264" t="s">
        <v>325</v>
      </c>
      <c r="C264" t="s">
        <v>313</v>
      </c>
      <c r="D264">
        <v>31</v>
      </c>
      <c r="E264">
        <v>12</v>
      </c>
    </row>
    <row r="265" spans="1:5" x14ac:dyDescent="0.3">
      <c r="A265" t="s">
        <v>326</v>
      </c>
      <c r="B265" t="s">
        <v>326</v>
      </c>
      <c r="C265" t="s">
        <v>313</v>
      </c>
      <c r="D265">
        <v>31</v>
      </c>
      <c r="E265">
        <v>13</v>
      </c>
    </row>
    <row r="266" spans="1:5" x14ac:dyDescent="0.3">
      <c r="A266" t="s">
        <v>327</v>
      </c>
      <c r="B266" t="s">
        <v>327</v>
      </c>
      <c r="C266" t="s">
        <v>313</v>
      </c>
      <c r="D266">
        <v>31</v>
      </c>
      <c r="E266">
        <v>14</v>
      </c>
    </row>
    <row r="267" spans="1:5" x14ac:dyDescent="0.3">
      <c r="A267" t="s">
        <v>328</v>
      </c>
      <c r="B267" t="s">
        <v>328</v>
      </c>
      <c r="C267" t="s">
        <v>313</v>
      </c>
      <c r="D267">
        <v>31</v>
      </c>
      <c r="E267">
        <v>15</v>
      </c>
    </row>
    <row r="268" spans="1:5" x14ac:dyDescent="0.3">
      <c r="A268" t="s">
        <v>329</v>
      </c>
      <c r="B268" t="s">
        <v>329</v>
      </c>
      <c r="C268" t="s">
        <v>313</v>
      </c>
      <c r="D268">
        <v>31</v>
      </c>
      <c r="E268">
        <v>16</v>
      </c>
    </row>
    <row r="269" spans="1:5" x14ac:dyDescent="0.3">
      <c r="A269" t="s">
        <v>330</v>
      </c>
      <c r="B269" t="s">
        <v>330</v>
      </c>
      <c r="C269" t="s">
        <v>313</v>
      </c>
      <c r="D269">
        <v>31</v>
      </c>
      <c r="E269">
        <v>17</v>
      </c>
    </row>
    <row r="270" spans="1:5" x14ac:dyDescent="0.3">
      <c r="A270" t="s">
        <v>331</v>
      </c>
      <c r="B270" t="s">
        <v>331</v>
      </c>
      <c r="C270" t="s">
        <v>313</v>
      </c>
      <c r="D270">
        <v>31</v>
      </c>
      <c r="E270">
        <v>18</v>
      </c>
    </row>
    <row r="271" spans="1:5" x14ac:dyDescent="0.3">
      <c r="A271" t="s">
        <v>332</v>
      </c>
      <c r="B271" t="s">
        <v>333</v>
      </c>
      <c r="C271" t="s">
        <v>313</v>
      </c>
      <c r="D271">
        <v>31</v>
      </c>
      <c r="E271">
        <v>19</v>
      </c>
    </row>
    <row r="272" spans="1:5" x14ac:dyDescent="0.3">
      <c r="A272" t="s">
        <v>334</v>
      </c>
      <c r="B272" t="s">
        <v>334</v>
      </c>
      <c r="C272" t="s">
        <v>313</v>
      </c>
      <c r="D272">
        <v>31</v>
      </c>
      <c r="E272">
        <v>20</v>
      </c>
    </row>
    <row r="273" spans="1:5" x14ac:dyDescent="0.3">
      <c r="A273" t="s">
        <v>336</v>
      </c>
      <c r="B273" t="s">
        <v>336</v>
      </c>
      <c r="C273" t="s">
        <v>335</v>
      </c>
      <c r="D273">
        <v>32</v>
      </c>
      <c r="E273">
        <v>1</v>
      </c>
    </row>
    <row r="274" spans="1:5" x14ac:dyDescent="0.3">
      <c r="A274" t="s">
        <v>337</v>
      </c>
      <c r="B274" t="s">
        <v>337</v>
      </c>
      <c r="C274" t="s">
        <v>335</v>
      </c>
      <c r="D274">
        <v>32</v>
      </c>
      <c r="E274">
        <v>2</v>
      </c>
    </row>
    <row r="275" spans="1:5" x14ac:dyDescent="0.3">
      <c r="A275" t="s">
        <v>338</v>
      </c>
      <c r="B275" t="s">
        <v>338</v>
      </c>
      <c r="C275" t="s">
        <v>335</v>
      </c>
      <c r="D275">
        <v>32</v>
      </c>
      <c r="E275">
        <v>3</v>
      </c>
    </row>
    <row r="276" spans="1:5" x14ac:dyDescent="0.3">
      <c r="A276" t="s">
        <v>339</v>
      </c>
      <c r="B276" t="s">
        <v>339</v>
      </c>
      <c r="C276" t="s">
        <v>335</v>
      </c>
      <c r="D276">
        <v>32</v>
      </c>
      <c r="E276">
        <v>4</v>
      </c>
    </row>
    <row r="277" spans="1:5" x14ac:dyDescent="0.3">
      <c r="A277" t="s">
        <v>341</v>
      </c>
      <c r="B277" t="s">
        <v>341</v>
      </c>
      <c r="C277" t="s">
        <v>340</v>
      </c>
      <c r="D277">
        <v>33</v>
      </c>
      <c r="E277">
        <v>1</v>
      </c>
    </row>
    <row r="278" spans="1:5" x14ac:dyDescent="0.3">
      <c r="A278" t="s">
        <v>342</v>
      </c>
      <c r="B278" t="s">
        <v>342</v>
      </c>
      <c r="C278" t="s">
        <v>340</v>
      </c>
      <c r="D278">
        <v>33</v>
      </c>
      <c r="E278">
        <v>2</v>
      </c>
    </row>
    <row r="279" spans="1:5" x14ac:dyDescent="0.3">
      <c r="A279" t="s">
        <v>343</v>
      </c>
      <c r="B279" t="s">
        <v>343</v>
      </c>
      <c r="C279" t="s">
        <v>340</v>
      </c>
      <c r="D279">
        <v>33</v>
      </c>
      <c r="E279">
        <v>3</v>
      </c>
    </row>
    <row r="280" spans="1:5" x14ac:dyDescent="0.3">
      <c r="A280" t="s">
        <v>344</v>
      </c>
      <c r="B280" t="s">
        <v>344</v>
      </c>
      <c r="C280" t="s">
        <v>340</v>
      </c>
      <c r="D280">
        <v>33</v>
      </c>
      <c r="E280">
        <v>4</v>
      </c>
    </row>
    <row r="281" spans="1:5" x14ac:dyDescent="0.3">
      <c r="A281" t="s">
        <v>345</v>
      </c>
      <c r="B281" t="s">
        <v>345</v>
      </c>
      <c r="C281" t="s">
        <v>340</v>
      </c>
      <c r="D281">
        <v>33</v>
      </c>
      <c r="E281">
        <v>5</v>
      </c>
    </row>
    <row r="282" spans="1:5" x14ac:dyDescent="0.3">
      <c r="A282" t="s">
        <v>346</v>
      </c>
      <c r="B282" t="s">
        <v>346</v>
      </c>
      <c r="C282" t="s">
        <v>340</v>
      </c>
      <c r="D282">
        <v>33</v>
      </c>
      <c r="E282">
        <v>6</v>
      </c>
    </row>
    <row r="283" spans="1:5" x14ac:dyDescent="0.3">
      <c r="A283" t="s">
        <v>348</v>
      </c>
      <c r="B283" t="s">
        <v>348</v>
      </c>
      <c r="C283" t="s">
        <v>347</v>
      </c>
      <c r="D283">
        <v>34</v>
      </c>
      <c r="E283">
        <v>1</v>
      </c>
    </row>
    <row r="284" spans="1:5" x14ac:dyDescent="0.3">
      <c r="A284" t="s">
        <v>349</v>
      </c>
      <c r="B284" t="s">
        <v>349</v>
      </c>
      <c r="C284" t="s">
        <v>347</v>
      </c>
      <c r="D284">
        <v>34</v>
      </c>
      <c r="E284">
        <v>2</v>
      </c>
    </row>
    <row r="285" spans="1:5" x14ac:dyDescent="0.3">
      <c r="A285" t="s">
        <v>350</v>
      </c>
      <c r="B285" t="s">
        <v>350</v>
      </c>
      <c r="C285" t="s">
        <v>347</v>
      </c>
      <c r="D285">
        <v>34</v>
      </c>
      <c r="E285">
        <v>3</v>
      </c>
    </row>
    <row r="286" spans="1:5" x14ac:dyDescent="0.3">
      <c r="A286" t="s">
        <v>351</v>
      </c>
      <c r="B286" t="s">
        <v>351</v>
      </c>
      <c r="C286" t="s">
        <v>347</v>
      </c>
      <c r="D286">
        <v>34</v>
      </c>
      <c r="E286">
        <v>4</v>
      </c>
    </row>
    <row r="287" spans="1:5" x14ac:dyDescent="0.3">
      <c r="A287" t="s">
        <v>352</v>
      </c>
      <c r="B287" t="s">
        <v>352</v>
      </c>
      <c r="C287" t="s">
        <v>347</v>
      </c>
      <c r="D287">
        <v>34</v>
      </c>
      <c r="E287">
        <v>5</v>
      </c>
    </row>
    <row r="288" spans="1:5" x14ac:dyDescent="0.3">
      <c r="A288" t="s">
        <v>353</v>
      </c>
      <c r="B288" t="s">
        <v>353</v>
      </c>
      <c r="C288" t="s">
        <v>347</v>
      </c>
      <c r="D288">
        <v>34</v>
      </c>
      <c r="E288">
        <v>6</v>
      </c>
    </row>
    <row r="289" spans="1:5" x14ac:dyDescent="0.3">
      <c r="A289" t="s">
        <v>354</v>
      </c>
      <c r="B289" t="s">
        <v>354</v>
      </c>
      <c r="C289" t="s">
        <v>347</v>
      </c>
      <c r="D289">
        <v>34</v>
      </c>
      <c r="E289">
        <v>7</v>
      </c>
    </row>
    <row r="290" spans="1:5" x14ac:dyDescent="0.3">
      <c r="A290" t="s">
        <v>355</v>
      </c>
      <c r="B290" t="s">
        <v>355</v>
      </c>
      <c r="C290" t="s">
        <v>347</v>
      </c>
      <c r="D290">
        <v>34</v>
      </c>
      <c r="E290">
        <v>8</v>
      </c>
    </row>
    <row r="291" spans="1:5" x14ac:dyDescent="0.3">
      <c r="A291" t="s">
        <v>356</v>
      </c>
      <c r="B291" t="s">
        <v>356</v>
      </c>
      <c r="C291" t="s">
        <v>347</v>
      </c>
      <c r="D291">
        <v>34</v>
      </c>
      <c r="E291">
        <v>9</v>
      </c>
    </row>
    <row r="292" spans="1:5" x14ac:dyDescent="0.3">
      <c r="A292" t="s">
        <v>357</v>
      </c>
      <c r="B292" t="s">
        <v>357</v>
      </c>
      <c r="C292" t="s">
        <v>347</v>
      </c>
      <c r="D292">
        <v>34</v>
      </c>
      <c r="E292">
        <v>10</v>
      </c>
    </row>
    <row r="293" spans="1:5" x14ac:dyDescent="0.3">
      <c r="A293" t="s">
        <v>358</v>
      </c>
      <c r="B293" t="s">
        <v>358</v>
      </c>
      <c r="C293" t="s">
        <v>347</v>
      </c>
      <c r="D293">
        <v>34</v>
      </c>
      <c r="E293">
        <v>11</v>
      </c>
    </row>
    <row r="294" spans="1:5" x14ac:dyDescent="0.3">
      <c r="A294" t="s">
        <v>359</v>
      </c>
      <c r="B294" t="s">
        <v>359</v>
      </c>
      <c r="C294" t="s">
        <v>347</v>
      </c>
      <c r="D294">
        <v>34</v>
      </c>
      <c r="E294">
        <v>12</v>
      </c>
    </row>
    <row r="295" spans="1:5" x14ac:dyDescent="0.3">
      <c r="A295" t="s">
        <v>360</v>
      </c>
      <c r="B295" t="s">
        <v>360</v>
      </c>
      <c r="C295" t="s">
        <v>347</v>
      </c>
      <c r="D295">
        <v>34</v>
      </c>
      <c r="E295">
        <v>13</v>
      </c>
    </row>
    <row r="296" spans="1:5" x14ac:dyDescent="0.3">
      <c r="A296" t="s">
        <v>361</v>
      </c>
      <c r="B296" t="s">
        <v>361</v>
      </c>
      <c r="C296" t="s">
        <v>347</v>
      </c>
      <c r="D296">
        <v>34</v>
      </c>
      <c r="E296">
        <v>14</v>
      </c>
    </row>
    <row r="297" spans="1:5" x14ac:dyDescent="0.3">
      <c r="A297" t="s">
        <v>362</v>
      </c>
      <c r="B297" t="s">
        <v>362</v>
      </c>
      <c r="C297" t="s">
        <v>347</v>
      </c>
      <c r="D297">
        <v>34</v>
      </c>
      <c r="E297">
        <v>15</v>
      </c>
    </row>
    <row r="298" spans="1:5" x14ac:dyDescent="0.3">
      <c r="A298" t="s">
        <v>363</v>
      </c>
      <c r="B298" t="s">
        <v>363</v>
      </c>
      <c r="C298" t="s">
        <v>347</v>
      </c>
      <c r="D298">
        <v>34</v>
      </c>
      <c r="E298">
        <v>16</v>
      </c>
    </row>
    <row r="299" spans="1:5" x14ac:dyDescent="0.3">
      <c r="A299" t="s">
        <v>364</v>
      </c>
      <c r="B299" t="s">
        <v>364</v>
      </c>
      <c r="C299" t="s">
        <v>347</v>
      </c>
      <c r="D299">
        <v>34</v>
      </c>
      <c r="E299">
        <v>17</v>
      </c>
    </row>
    <row r="300" spans="1:5" x14ac:dyDescent="0.3">
      <c r="A300" t="s">
        <v>365</v>
      </c>
      <c r="B300" t="s">
        <v>365</v>
      </c>
      <c r="C300" t="s">
        <v>347</v>
      </c>
      <c r="D300">
        <v>34</v>
      </c>
      <c r="E300">
        <v>18</v>
      </c>
    </row>
    <row r="301" spans="1:5" x14ac:dyDescent="0.3">
      <c r="A301" t="s">
        <v>366</v>
      </c>
      <c r="B301" t="s">
        <v>366</v>
      </c>
      <c r="C301" t="s">
        <v>347</v>
      </c>
      <c r="D301">
        <v>34</v>
      </c>
      <c r="E301">
        <v>19</v>
      </c>
    </row>
    <row r="302" spans="1:5" x14ac:dyDescent="0.3">
      <c r="A302" t="s">
        <v>367</v>
      </c>
      <c r="B302" t="s">
        <v>367</v>
      </c>
      <c r="C302" t="s">
        <v>347</v>
      </c>
      <c r="D302">
        <v>34</v>
      </c>
      <c r="E302">
        <v>20</v>
      </c>
    </row>
    <row r="303" spans="1:5" x14ac:dyDescent="0.3">
      <c r="A303" t="s">
        <v>369</v>
      </c>
      <c r="B303" t="s">
        <v>369</v>
      </c>
      <c r="C303" t="s">
        <v>368</v>
      </c>
      <c r="D303">
        <v>35</v>
      </c>
      <c r="E303">
        <v>1</v>
      </c>
    </row>
    <row r="304" spans="1:5" x14ac:dyDescent="0.3">
      <c r="A304" t="s">
        <v>370</v>
      </c>
      <c r="B304" t="s">
        <v>370</v>
      </c>
      <c r="C304" t="s">
        <v>368</v>
      </c>
      <c r="D304">
        <v>35</v>
      </c>
      <c r="E304">
        <v>2</v>
      </c>
    </row>
    <row r="305" spans="1:5" x14ac:dyDescent="0.3">
      <c r="A305" t="s">
        <v>371</v>
      </c>
      <c r="B305" t="s">
        <v>371</v>
      </c>
      <c r="C305" t="s">
        <v>368</v>
      </c>
      <c r="D305">
        <v>35</v>
      </c>
      <c r="E305">
        <v>3</v>
      </c>
    </row>
    <row r="306" spans="1:5" x14ac:dyDescent="0.3">
      <c r="A306" t="s">
        <v>372</v>
      </c>
      <c r="B306" t="s">
        <v>372</v>
      </c>
      <c r="C306" t="s">
        <v>368</v>
      </c>
      <c r="D306">
        <v>35</v>
      </c>
      <c r="E306">
        <v>4</v>
      </c>
    </row>
    <row r="307" spans="1:5" x14ac:dyDescent="0.3">
      <c r="A307" t="s">
        <v>373</v>
      </c>
      <c r="B307" t="s">
        <v>373</v>
      </c>
      <c r="C307" t="s">
        <v>368</v>
      </c>
      <c r="D307">
        <v>35</v>
      </c>
      <c r="E307">
        <v>5</v>
      </c>
    </row>
    <row r="308" spans="1:5" x14ac:dyDescent="0.3">
      <c r="A308" t="s">
        <v>374</v>
      </c>
      <c r="B308" t="s">
        <v>374</v>
      </c>
      <c r="C308" t="s">
        <v>368</v>
      </c>
      <c r="D308">
        <v>35</v>
      </c>
      <c r="E308">
        <v>6</v>
      </c>
    </row>
    <row r="309" spans="1:5" x14ac:dyDescent="0.3">
      <c r="A309" t="s">
        <v>375</v>
      </c>
      <c r="B309" t="s">
        <v>375</v>
      </c>
      <c r="C309" t="s">
        <v>368</v>
      </c>
      <c r="D309">
        <v>35</v>
      </c>
      <c r="E309">
        <v>7</v>
      </c>
    </row>
    <row r="310" spans="1:5" x14ac:dyDescent="0.3">
      <c r="A310" t="s">
        <v>376</v>
      </c>
      <c r="B310" t="s">
        <v>376</v>
      </c>
      <c r="C310" t="s">
        <v>368</v>
      </c>
      <c r="D310">
        <v>35</v>
      </c>
      <c r="E310">
        <v>8</v>
      </c>
    </row>
    <row r="311" spans="1:5" x14ac:dyDescent="0.3">
      <c r="A311" t="s">
        <v>377</v>
      </c>
      <c r="B311" t="s">
        <v>377</v>
      </c>
      <c r="C311" t="s">
        <v>368</v>
      </c>
      <c r="D311">
        <v>35</v>
      </c>
      <c r="E311">
        <v>9</v>
      </c>
    </row>
    <row r="312" spans="1:5" x14ac:dyDescent="0.3">
      <c r="A312" t="s">
        <v>378</v>
      </c>
      <c r="B312" t="s">
        <v>378</v>
      </c>
      <c r="C312" t="s">
        <v>368</v>
      </c>
      <c r="D312">
        <v>35</v>
      </c>
      <c r="E312">
        <v>10</v>
      </c>
    </row>
    <row r="313" spans="1:5" x14ac:dyDescent="0.3">
      <c r="A313" t="s">
        <v>379</v>
      </c>
      <c r="B313" t="s">
        <v>379</v>
      </c>
      <c r="C313" t="s">
        <v>368</v>
      </c>
      <c r="D313">
        <v>35</v>
      </c>
      <c r="E313">
        <v>11</v>
      </c>
    </row>
    <row r="314" spans="1:5" x14ac:dyDescent="0.3">
      <c r="A314" t="s">
        <v>380</v>
      </c>
      <c r="B314" t="s">
        <v>380</v>
      </c>
      <c r="C314" t="s">
        <v>368</v>
      </c>
      <c r="D314">
        <v>35</v>
      </c>
      <c r="E314">
        <v>12</v>
      </c>
    </row>
    <row r="315" spans="1:5" x14ac:dyDescent="0.3">
      <c r="A315" t="s">
        <v>381</v>
      </c>
      <c r="B315" t="s">
        <v>381</v>
      </c>
      <c r="C315" t="s">
        <v>368</v>
      </c>
      <c r="D315">
        <v>35</v>
      </c>
      <c r="E315">
        <v>13</v>
      </c>
    </row>
    <row r="316" spans="1:5" x14ac:dyDescent="0.3">
      <c r="A316" t="s">
        <v>382</v>
      </c>
      <c r="B316" t="s">
        <v>382</v>
      </c>
      <c r="C316" t="s">
        <v>368</v>
      </c>
      <c r="D316">
        <v>35</v>
      </c>
      <c r="E316">
        <v>14</v>
      </c>
    </row>
    <row r="317" spans="1:5" x14ac:dyDescent="0.3">
      <c r="A317" t="s">
        <v>383</v>
      </c>
      <c r="B317" t="s">
        <v>383</v>
      </c>
      <c r="C317" t="s">
        <v>368</v>
      </c>
      <c r="D317">
        <v>35</v>
      </c>
      <c r="E317">
        <v>15</v>
      </c>
    </row>
    <row r="318" spans="1:5" x14ac:dyDescent="0.3">
      <c r="A318" t="s">
        <v>384</v>
      </c>
      <c r="B318" t="s">
        <v>384</v>
      </c>
      <c r="C318" t="s">
        <v>368</v>
      </c>
      <c r="D318">
        <v>35</v>
      </c>
      <c r="E318">
        <v>16</v>
      </c>
    </row>
    <row r="319" spans="1:5" x14ac:dyDescent="0.3">
      <c r="A319" t="s">
        <v>385</v>
      </c>
      <c r="B319" t="s">
        <v>385</v>
      </c>
      <c r="C319" t="s">
        <v>368</v>
      </c>
      <c r="D319">
        <v>35</v>
      </c>
      <c r="E319">
        <v>17</v>
      </c>
    </row>
    <row r="320" spans="1:5" x14ac:dyDescent="0.3">
      <c r="A320" t="s">
        <v>386</v>
      </c>
      <c r="B320" t="s">
        <v>386</v>
      </c>
      <c r="C320" t="s">
        <v>368</v>
      </c>
      <c r="D320">
        <v>35</v>
      </c>
      <c r="E320">
        <v>18</v>
      </c>
    </row>
    <row r="321" spans="1:5" x14ac:dyDescent="0.3">
      <c r="A321" t="s">
        <v>387</v>
      </c>
      <c r="B321" t="s">
        <v>387</v>
      </c>
      <c r="C321" t="s">
        <v>368</v>
      </c>
      <c r="D321">
        <v>35</v>
      </c>
      <c r="E321">
        <v>19</v>
      </c>
    </row>
    <row r="322" spans="1:5" x14ac:dyDescent="0.3">
      <c r="A322" t="s">
        <v>388</v>
      </c>
      <c r="B322" t="s">
        <v>388</v>
      </c>
      <c r="C322" t="s">
        <v>368</v>
      </c>
      <c r="D322">
        <v>35</v>
      </c>
      <c r="E322">
        <v>20</v>
      </c>
    </row>
    <row r="323" spans="1:5" x14ac:dyDescent="0.3">
      <c r="A323" t="s">
        <v>389</v>
      </c>
      <c r="B323" t="s">
        <v>389</v>
      </c>
      <c r="C323" t="s">
        <v>368</v>
      </c>
      <c r="D323">
        <v>35</v>
      </c>
      <c r="E323">
        <v>21</v>
      </c>
    </row>
    <row r="324" spans="1:5" x14ac:dyDescent="0.3">
      <c r="A324" t="s">
        <v>390</v>
      </c>
      <c r="B324" t="s">
        <v>390</v>
      </c>
      <c r="C324" t="s">
        <v>368</v>
      </c>
      <c r="D324">
        <v>35</v>
      </c>
      <c r="E324">
        <v>22</v>
      </c>
    </row>
    <row r="325" spans="1:5" x14ac:dyDescent="0.3">
      <c r="A325" t="s">
        <v>391</v>
      </c>
      <c r="B325" t="s">
        <v>391</v>
      </c>
      <c r="C325" t="s">
        <v>368</v>
      </c>
      <c r="D325">
        <v>35</v>
      </c>
      <c r="E325">
        <v>23</v>
      </c>
    </row>
    <row r="326" spans="1:5" x14ac:dyDescent="0.3">
      <c r="A326" t="s">
        <v>392</v>
      </c>
      <c r="B326" t="s">
        <v>392</v>
      </c>
      <c r="C326" t="s">
        <v>368</v>
      </c>
      <c r="D326">
        <v>35</v>
      </c>
      <c r="E326">
        <v>24</v>
      </c>
    </row>
    <row r="327" spans="1:5" x14ac:dyDescent="0.3">
      <c r="A327" t="s">
        <v>394</v>
      </c>
      <c r="B327" t="s">
        <v>394</v>
      </c>
      <c r="C327" t="s">
        <v>393</v>
      </c>
      <c r="D327">
        <v>36</v>
      </c>
      <c r="E327">
        <v>1</v>
      </c>
    </row>
    <row r="328" spans="1:5" x14ac:dyDescent="0.3">
      <c r="A328" t="s">
        <v>395</v>
      </c>
      <c r="B328" t="s">
        <v>395</v>
      </c>
      <c r="C328" t="s">
        <v>393</v>
      </c>
      <c r="D328">
        <v>36</v>
      </c>
      <c r="E328">
        <v>2</v>
      </c>
    </row>
    <row r="329" spans="1:5" x14ac:dyDescent="0.3">
      <c r="A329" t="s">
        <v>396</v>
      </c>
      <c r="B329" t="s">
        <v>396</v>
      </c>
      <c r="C329" t="s">
        <v>393</v>
      </c>
      <c r="D329">
        <v>36</v>
      </c>
      <c r="E329">
        <v>3</v>
      </c>
    </row>
    <row r="330" spans="1:5" x14ac:dyDescent="0.3">
      <c r="A330" t="s">
        <v>397</v>
      </c>
      <c r="B330" t="s">
        <v>397</v>
      </c>
      <c r="C330" t="s">
        <v>393</v>
      </c>
      <c r="D330">
        <v>36</v>
      </c>
      <c r="E330">
        <v>4</v>
      </c>
    </row>
    <row r="331" spans="1:5" x14ac:dyDescent="0.3">
      <c r="A331" t="s">
        <v>398</v>
      </c>
      <c r="B331" t="s">
        <v>398</v>
      </c>
      <c r="C331" t="s">
        <v>393</v>
      </c>
      <c r="D331">
        <v>36</v>
      </c>
      <c r="E331">
        <v>5</v>
      </c>
    </row>
    <row r="332" spans="1:5" x14ac:dyDescent="0.3">
      <c r="A332" t="s">
        <v>399</v>
      </c>
      <c r="B332" t="s">
        <v>399</v>
      </c>
      <c r="C332" t="s">
        <v>393</v>
      </c>
      <c r="D332">
        <v>36</v>
      </c>
      <c r="E332">
        <v>6</v>
      </c>
    </row>
    <row r="333" spans="1:5" x14ac:dyDescent="0.3">
      <c r="A333" t="s">
        <v>400</v>
      </c>
      <c r="B333" t="s">
        <v>400</v>
      </c>
      <c r="C333" t="s">
        <v>393</v>
      </c>
      <c r="D333">
        <v>36</v>
      </c>
      <c r="E333">
        <v>7</v>
      </c>
    </row>
    <row r="334" spans="1:5" x14ac:dyDescent="0.3">
      <c r="A334" t="s">
        <v>401</v>
      </c>
      <c r="B334" t="s">
        <v>401</v>
      </c>
      <c r="C334" t="s">
        <v>393</v>
      </c>
      <c r="D334">
        <v>36</v>
      </c>
      <c r="E334">
        <v>8</v>
      </c>
    </row>
    <row r="335" spans="1:5" x14ac:dyDescent="0.3">
      <c r="A335" t="s">
        <v>402</v>
      </c>
      <c r="B335" t="s">
        <v>402</v>
      </c>
      <c r="C335" t="s">
        <v>393</v>
      </c>
      <c r="D335">
        <v>36</v>
      </c>
      <c r="E335">
        <v>9</v>
      </c>
    </row>
    <row r="336" spans="1:5" x14ac:dyDescent="0.3">
      <c r="A336" t="s">
        <v>403</v>
      </c>
      <c r="B336" t="s">
        <v>403</v>
      </c>
      <c r="C336" t="s">
        <v>393</v>
      </c>
      <c r="D336">
        <v>36</v>
      </c>
      <c r="E336">
        <v>10</v>
      </c>
    </row>
    <row r="337" spans="1:5" x14ac:dyDescent="0.3">
      <c r="A337" t="s">
        <v>404</v>
      </c>
      <c r="B337" t="s">
        <v>404</v>
      </c>
      <c r="C337" t="s">
        <v>393</v>
      </c>
      <c r="D337">
        <v>36</v>
      </c>
      <c r="E337">
        <v>11</v>
      </c>
    </row>
    <row r="338" spans="1:5" x14ac:dyDescent="0.3">
      <c r="A338" t="s">
        <v>405</v>
      </c>
      <c r="B338" t="s">
        <v>405</v>
      </c>
      <c r="C338" t="s">
        <v>393</v>
      </c>
      <c r="D338">
        <v>36</v>
      </c>
      <c r="E338">
        <v>12</v>
      </c>
    </row>
    <row r="339" spans="1:5" x14ac:dyDescent="0.3">
      <c r="A339" t="s">
        <v>2</v>
      </c>
      <c r="B339" t="s">
        <v>2</v>
      </c>
      <c r="C339" t="s">
        <v>393</v>
      </c>
      <c r="D339">
        <v>36</v>
      </c>
      <c r="E339">
        <v>13</v>
      </c>
    </row>
    <row r="340" spans="1:5" x14ac:dyDescent="0.3">
      <c r="A340" t="s">
        <v>407</v>
      </c>
      <c r="B340" t="s">
        <v>407</v>
      </c>
      <c r="C340" t="s">
        <v>406</v>
      </c>
      <c r="D340">
        <v>37</v>
      </c>
      <c r="E340">
        <v>1</v>
      </c>
    </row>
    <row r="341" spans="1:5" x14ac:dyDescent="0.3">
      <c r="A341" t="s">
        <v>408</v>
      </c>
      <c r="B341" t="s">
        <v>408</v>
      </c>
      <c r="C341" t="s">
        <v>406</v>
      </c>
      <c r="D341">
        <v>37</v>
      </c>
      <c r="E341">
        <v>2</v>
      </c>
    </row>
    <row r="342" spans="1:5" x14ac:dyDescent="0.3">
      <c r="A342" t="s">
        <v>409</v>
      </c>
      <c r="B342" t="s">
        <v>409</v>
      </c>
      <c r="C342" t="s">
        <v>406</v>
      </c>
      <c r="D342">
        <v>37</v>
      </c>
      <c r="E342">
        <v>3</v>
      </c>
    </row>
    <row r="343" spans="1:5" x14ac:dyDescent="0.3">
      <c r="A343" t="s">
        <v>410</v>
      </c>
      <c r="B343" t="s">
        <v>459</v>
      </c>
      <c r="C343" t="s">
        <v>406</v>
      </c>
      <c r="D343">
        <v>37</v>
      </c>
      <c r="E343">
        <v>4</v>
      </c>
    </row>
    <row r="344" spans="1:5" x14ac:dyDescent="0.3">
      <c r="A344" t="s">
        <v>412</v>
      </c>
      <c r="B344" t="s">
        <v>412</v>
      </c>
      <c r="C344" t="s">
        <v>411</v>
      </c>
      <c r="D344">
        <v>38</v>
      </c>
      <c r="E344">
        <v>1</v>
      </c>
    </row>
    <row r="345" spans="1:5" x14ac:dyDescent="0.3">
      <c r="A345" t="s">
        <v>413</v>
      </c>
      <c r="B345" t="s">
        <v>413</v>
      </c>
      <c r="C345" t="s">
        <v>411</v>
      </c>
      <c r="D345">
        <v>38</v>
      </c>
      <c r="E345">
        <v>2</v>
      </c>
    </row>
    <row r="346" spans="1:5" x14ac:dyDescent="0.3">
      <c r="A346" t="s">
        <v>414</v>
      </c>
      <c r="B346" t="s">
        <v>414</v>
      </c>
      <c r="C346" t="s">
        <v>411</v>
      </c>
      <c r="D346">
        <v>38</v>
      </c>
      <c r="E346">
        <v>3</v>
      </c>
    </row>
    <row r="347" spans="1:5" x14ac:dyDescent="0.3">
      <c r="A347" t="s">
        <v>416</v>
      </c>
      <c r="B347" t="s">
        <v>416</v>
      </c>
      <c r="C347" t="s">
        <v>415</v>
      </c>
      <c r="D347">
        <v>39</v>
      </c>
      <c r="E347">
        <v>1</v>
      </c>
    </row>
    <row r="348" spans="1:5" x14ac:dyDescent="0.3">
      <c r="A348" t="s">
        <v>3</v>
      </c>
      <c r="B348" t="s">
        <v>3</v>
      </c>
      <c r="C348" t="s">
        <v>415</v>
      </c>
      <c r="D348">
        <v>39</v>
      </c>
      <c r="E348">
        <v>2</v>
      </c>
    </row>
    <row r="349" spans="1:5" x14ac:dyDescent="0.3">
      <c r="A349" t="s">
        <v>417</v>
      </c>
      <c r="B349" t="s">
        <v>417</v>
      </c>
      <c r="C349" t="s">
        <v>415</v>
      </c>
      <c r="D349">
        <v>39</v>
      </c>
      <c r="E349">
        <v>3</v>
      </c>
    </row>
    <row r="350" spans="1:5" x14ac:dyDescent="0.3">
      <c r="A350" t="s">
        <v>418</v>
      </c>
      <c r="B350" t="s">
        <v>418</v>
      </c>
      <c r="C350" t="s">
        <v>415</v>
      </c>
      <c r="D350">
        <v>39</v>
      </c>
      <c r="E350">
        <v>4</v>
      </c>
    </row>
    <row r="351" spans="1:5" x14ac:dyDescent="0.3">
      <c r="A351" t="s">
        <v>419</v>
      </c>
      <c r="B351" t="s">
        <v>438</v>
      </c>
      <c r="C351" t="s">
        <v>415</v>
      </c>
      <c r="D351">
        <v>39</v>
      </c>
      <c r="E351">
        <v>5</v>
      </c>
    </row>
    <row r="352" spans="1:5" x14ac:dyDescent="0.3">
      <c r="A352" t="s">
        <v>420</v>
      </c>
      <c r="B352" t="s">
        <v>420</v>
      </c>
      <c r="C352" t="s">
        <v>415</v>
      </c>
      <c r="D352">
        <v>39</v>
      </c>
      <c r="E352">
        <v>6</v>
      </c>
    </row>
    <row r="353" spans="1:5" x14ac:dyDescent="0.3">
      <c r="A353" t="s">
        <v>421</v>
      </c>
      <c r="B353" t="s">
        <v>421</v>
      </c>
      <c r="C353" t="s">
        <v>415</v>
      </c>
      <c r="D353">
        <v>39</v>
      </c>
      <c r="E353">
        <v>7</v>
      </c>
    </row>
    <row r="354" spans="1:5" x14ac:dyDescent="0.3">
      <c r="A354" t="s">
        <v>422</v>
      </c>
      <c r="B354" t="s">
        <v>422</v>
      </c>
      <c r="C354" t="s">
        <v>415</v>
      </c>
      <c r="D354">
        <v>39</v>
      </c>
      <c r="E354">
        <v>8</v>
      </c>
    </row>
    <row r="355" spans="1:5" x14ac:dyDescent="0.3">
      <c r="A355" t="s">
        <v>423</v>
      </c>
      <c r="B355" t="s">
        <v>423</v>
      </c>
      <c r="C355" t="s">
        <v>415</v>
      </c>
      <c r="D355">
        <v>39</v>
      </c>
      <c r="E355">
        <v>9</v>
      </c>
    </row>
    <row r="356" spans="1:5" x14ac:dyDescent="0.3">
      <c r="A356" t="s">
        <v>424</v>
      </c>
      <c r="B356" t="s">
        <v>424</v>
      </c>
      <c r="C356" t="s">
        <v>415</v>
      </c>
      <c r="D356">
        <v>39</v>
      </c>
      <c r="E356">
        <v>10</v>
      </c>
    </row>
    <row r="357" spans="1:5" x14ac:dyDescent="0.3">
      <c r="A357" t="s">
        <v>425</v>
      </c>
      <c r="B357" t="s">
        <v>425</v>
      </c>
      <c r="C357" t="s">
        <v>415</v>
      </c>
      <c r="D357">
        <v>39</v>
      </c>
      <c r="E357">
        <v>11</v>
      </c>
    </row>
    <row r="358" spans="1:5" x14ac:dyDescent="0.3">
      <c r="A358" t="s">
        <v>426</v>
      </c>
      <c r="B358" t="s">
        <v>426</v>
      </c>
      <c r="C358" t="s">
        <v>415</v>
      </c>
      <c r="D358">
        <v>39</v>
      </c>
      <c r="E358">
        <v>12</v>
      </c>
    </row>
    <row r="359" spans="1:5" x14ac:dyDescent="0.3">
      <c r="A359" t="s">
        <v>427</v>
      </c>
      <c r="B359" t="s">
        <v>427</v>
      </c>
      <c r="C359" t="s">
        <v>415</v>
      </c>
      <c r="D359">
        <v>39</v>
      </c>
      <c r="E359">
        <v>13</v>
      </c>
    </row>
    <row r="360" spans="1:5" x14ac:dyDescent="0.3">
      <c r="A360" t="s">
        <v>428</v>
      </c>
      <c r="B360" t="s">
        <v>428</v>
      </c>
      <c r="C360" t="s">
        <v>415</v>
      </c>
      <c r="D360">
        <v>39</v>
      </c>
      <c r="E360">
        <v>14</v>
      </c>
    </row>
    <row r="361" spans="1:5" x14ac:dyDescent="0.3">
      <c r="A361" t="s">
        <v>429</v>
      </c>
      <c r="B361" t="s">
        <v>429</v>
      </c>
      <c r="C361" t="s">
        <v>415</v>
      </c>
      <c r="D361">
        <v>39</v>
      </c>
      <c r="E361">
        <v>15</v>
      </c>
    </row>
    <row r="362" spans="1:5" x14ac:dyDescent="0.3">
      <c r="A362" t="s">
        <v>430</v>
      </c>
      <c r="B362" t="s">
        <v>263</v>
      </c>
      <c r="C362" t="s">
        <v>415</v>
      </c>
      <c r="D362">
        <v>39</v>
      </c>
      <c r="E362">
        <v>16</v>
      </c>
    </row>
    <row r="363" spans="1:5" x14ac:dyDescent="0.3">
      <c r="A363" t="s">
        <v>431</v>
      </c>
      <c r="B363" t="s">
        <v>431</v>
      </c>
      <c r="C363" t="s">
        <v>415</v>
      </c>
      <c r="D363">
        <v>39</v>
      </c>
      <c r="E363">
        <v>17</v>
      </c>
    </row>
    <row r="364" spans="1:5" x14ac:dyDescent="0.3">
      <c r="A364" t="s">
        <v>432</v>
      </c>
      <c r="B364" t="s">
        <v>459</v>
      </c>
      <c r="C364" t="s">
        <v>415</v>
      </c>
      <c r="D364">
        <v>39</v>
      </c>
      <c r="E364">
        <v>18</v>
      </c>
    </row>
    <row r="365" spans="1:5" x14ac:dyDescent="0.3">
      <c r="A365" t="s">
        <v>433</v>
      </c>
      <c r="B365" t="s">
        <v>433</v>
      </c>
      <c r="C365" t="s">
        <v>415</v>
      </c>
      <c r="D365">
        <v>39</v>
      </c>
      <c r="E365">
        <v>19</v>
      </c>
    </row>
    <row r="366" spans="1:5" x14ac:dyDescent="0.3">
      <c r="A366" t="s">
        <v>434</v>
      </c>
      <c r="B366" t="s">
        <v>434</v>
      </c>
      <c r="C366" t="s">
        <v>415</v>
      </c>
      <c r="D366">
        <v>39</v>
      </c>
      <c r="E366">
        <v>20</v>
      </c>
    </row>
    <row r="367" spans="1:5" x14ac:dyDescent="0.3">
      <c r="A367" t="s">
        <v>435</v>
      </c>
      <c r="B367" t="s">
        <v>435</v>
      </c>
      <c r="C367" t="s">
        <v>415</v>
      </c>
      <c r="D367">
        <v>39</v>
      </c>
      <c r="E367">
        <v>21</v>
      </c>
    </row>
    <row r="368" spans="1:5" x14ac:dyDescent="0.3">
      <c r="A368" t="s">
        <v>437</v>
      </c>
      <c r="B368" t="s">
        <v>438</v>
      </c>
      <c r="C368" t="s">
        <v>436</v>
      </c>
      <c r="D368">
        <v>40</v>
      </c>
      <c r="E368">
        <v>1</v>
      </c>
    </row>
    <row r="369" spans="1:5" x14ac:dyDescent="0.3">
      <c r="A369" t="s">
        <v>439</v>
      </c>
      <c r="B369" t="s">
        <v>439</v>
      </c>
      <c r="C369" t="s">
        <v>436</v>
      </c>
      <c r="D369">
        <v>40</v>
      </c>
      <c r="E369">
        <v>2</v>
      </c>
    </row>
    <row r="370" spans="1:5" x14ac:dyDescent="0.3">
      <c r="A370" t="s">
        <v>440</v>
      </c>
      <c r="B370" t="s">
        <v>440</v>
      </c>
      <c r="C370" t="s">
        <v>436</v>
      </c>
      <c r="D370">
        <v>40</v>
      </c>
      <c r="E370">
        <v>3</v>
      </c>
    </row>
    <row r="371" spans="1:5" x14ac:dyDescent="0.3">
      <c r="A371" t="s">
        <v>441</v>
      </c>
      <c r="B371" t="s">
        <v>441</v>
      </c>
      <c r="C371" t="s">
        <v>436</v>
      </c>
      <c r="D371">
        <v>40</v>
      </c>
      <c r="E371">
        <v>4</v>
      </c>
    </row>
    <row r="372" spans="1:5" x14ac:dyDescent="0.3">
      <c r="A372" t="s">
        <v>442</v>
      </c>
      <c r="B372" t="s">
        <v>442</v>
      </c>
      <c r="C372" t="s">
        <v>436</v>
      </c>
      <c r="D372">
        <v>40</v>
      </c>
      <c r="E372">
        <v>5</v>
      </c>
    </row>
    <row r="373" spans="1:5" x14ac:dyDescent="0.3">
      <c r="A373" t="s">
        <v>443</v>
      </c>
      <c r="B373" t="s">
        <v>443</v>
      </c>
      <c r="C373" t="s">
        <v>436</v>
      </c>
      <c r="D373">
        <v>40</v>
      </c>
      <c r="E373">
        <v>6</v>
      </c>
    </row>
    <row r="374" spans="1:5" x14ac:dyDescent="0.3">
      <c r="A374" t="s">
        <v>444</v>
      </c>
      <c r="B374" t="s">
        <v>444</v>
      </c>
      <c r="C374" t="s">
        <v>436</v>
      </c>
      <c r="D374">
        <v>40</v>
      </c>
      <c r="E374">
        <v>7</v>
      </c>
    </row>
    <row r="375" spans="1:5" x14ac:dyDescent="0.3">
      <c r="A375" t="s">
        <v>445</v>
      </c>
      <c r="B375" t="s">
        <v>445</v>
      </c>
      <c r="C375" t="s">
        <v>436</v>
      </c>
      <c r="D375">
        <v>40</v>
      </c>
      <c r="E375">
        <v>8</v>
      </c>
    </row>
    <row r="376" spans="1:5" x14ac:dyDescent="0.3">
      <c r="A376" t="s">
        <v>446</v>
      </c>
      <c r="B376" t="s">
        <v>446</v>
      </c>
      <c r="C376" t="s">
        <v>436</v>
      </c>
      <c r="D376">
        <v>40</v>
      </c>
      <c r="E376">
        <v>9</v>
      </c>
    </row>
    <row r="377" spans="1:5" x14ac:dyDescent="0.3">
      <c r="A377" t="s">
        <v>447</v>
      </c>
      <c r="B377" t="s">
        <v>447</v>
      </c>
      <c r="C377" t="s">
        <v>436</v>
      </c>
      <c r="D377">
        <v>40</v>
      </c>
      <c r="E377">
        <v>10</v>
      </c>
    </row>
    <row r="378" spans="1:5" x14ac:dyDescent="0.3">
      <c r="A378" t="s">
        <v>448</v>
      </c>
      <c r="B378" t="s">
        <v>448</v>
      </c>
      <c r="C378" t="s">
        <v>436</v>
      </c>
      <c r="D378">
        <v>40</v>
      </c>
      <c r="E378">
        <v>11</v>
      </c>
    </row>
    <row r="379" spans="1:5" x14ac:dyDescent="0.3">
      <c r="A379" t="s">
        <v>449</v>
      </c>
      <c r="B379" t="s">
        <v>449</v>
      </c>
      <c r="C379" t="s">
        <v>436</v>
      </c>
      <c r="D379">
        <v>40</v>
      </c>
      <c r="E379">
        <v>12</v>
      </c>
    </row>
    <row r="380" spans="1:5" x14ac:dyDescent="0.3">
      <c r="A380" t="s">
        <v>451</v>
      </c>
      <c r="B380" t="s">
        <v>451</v>
      </c>
      <c r="C380" t="s">
        <v>450</v>
      </c>
      <c r="D380">
        <v>41</v>
      </c>
      <c r="E380">
        <v>1</v>
      </c>
    </row>
    <row r="381" spans="1:5" x14ac:dyDescent="0.3">
      <c r="A381" t="s">
        <v>452</v>
      </c>
      <c r="B381" t="s">
        <v>452</v>
      </c>
      <c r="C381" t="s">
        <v>450</v>
      </c>
      <c r="D381">
        <v>41</v>
      </c>
      <c r="E381">
        <v>2</v>
      </c>
    </row>
    <row r="382" spans="1:5" x14ac:dyDescent="0.3">
      <c r="A382" t="s">
        <v>453</v>
      </c>
      <c r="B382" t="s">
        <v>453</v>
      </c>
      <c r="C382" t="s">
        <v>450</v>
      </c>
      <c r="D382">
        <v>41</v>
      </c>
      <c r="E382">
        <v>3</v>
      </c>
    </row>
    <row r="383" spans="1:5" x14ac:dyDescent="0.3">
      <c r="A383" t="s">
        <v>454</v>
      </c>
      <c r="B383" t="s">
        <v>454</v>
      </c>
      <c r="C383" t="s">
        <v>450</v>
      </c>
      <c r="D383">
        <v>41</v>
      </c>
      <c r="E383">
        <v>4</v>
      </c>
    </row>
    <row r="384" spans="1:5" x14ac:dyDescent="0.3">
      <c r="A384" t="s">
        <v>456</v>
      </c>
      <c r="B384" t="s">
        <v>456</v>
      </c>
      <c r="C384" t="s">
        <v>455</v>
      </c>
      <c r="D384">
        <v>42</v>
      </c>
      <c r="E384">
        <v>1</v>
      </c>
    </row>
    <row r="385" spans="1:5" x14ac:dyDescent="0.3">
      <c r="A385" t="s">
        <v>457</v>
      </c>
      <c r="B385" t="s">
        <v>457</v>
      </c>
      <c r="C385" t="s">
        <v>455</v>
      </c>
      <c r="D385">
        <v>42</v>
      </c>
      <c r="E385">
        <v>2</v>
      </c>
    </row>
    <row r="386" spans="1:5" x14ac:dyDescent="0.3">
      <c r="A386" t="s">
        <v>458</v>
      </c>
      <c r="B386" t="s">
        <v>459</v>
      </c>
      <c r="C386" t="s">
        <v>455</v>
      </c>
      <c r="D386">
        <v>42</v>
      </c>
      <c r="E386">
        <v>3</v>
      </c>
    </row>
  </sheetData>
  <conditionalFormatting sqref="B2:B386">
    <cfRule type="duplicateValues" dxfId="0" priority="2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Edges</vt:lpstr>
      <vt:lpstr>Nodes</vt:lpstr>
      <vt:lpstr>Nodes!_FilterDatabase</vt:lpstr>
    </vt:vector>
  </TitlesOfParts>
  <Company>Florida State University Libraries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Elissa Reiskind</dc:creator>
  <cp:lastModifiedBy>Elissa Reiskind</cp:lastModifiedBy>
  <dcterms:created xsi:type="dcterms:W3CDTF">2025-05-30T15:39:07Z</dcterms:created>
  <dcterms:modified xsi:type="dcterms:W3CDTF">2025-06-10T16:46:20Z</dcterms:modified>
</cp:coreProperties>
</file>